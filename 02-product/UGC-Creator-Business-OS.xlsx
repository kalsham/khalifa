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rand Deal Pipeline" sheetId="2" state="visible" r:id="rId2"/>
    <sheet name="Rate Calculator" sheetId="3" state="visible" r:id="rId3"/>
    <sheet name="Invoices" sheetId="4" state="visible" r:id="rId4"/>
    <sheet name="Content Calendar" sheetId="5" state="visible" r:id="rId5"/>
    <sheet name="Usage Rights Cheat 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yyyy-mm-dd"/>
    <numFmt numFmtId="167" formatCode="0.0"/>
    <numFmt numFmtId="168" formatCode="0.00x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6B6B66"/>
      <sz val="11"/>
    </font>
    <font>
      <name val="Arial"/>
      <b val="1"/>
      <color rgb="00FFFFFF"/>
      <sz val="10"/>
    </font>
    <font>
      <name val="Arial"/>
      <b val="1"/>
      <color rgb="001C1C1E"/>
      <sz val="18"/>
    </font>
    <font>
      <name val="Arial"/>
      <b val="1"/>
      <color rgb="001C1C1E"/>
      <sz val="12"/>
    </font>
    <font>
      <name val="Arial"/>
      <color rgb="006B6B66"/>
      <sz val="10"/>
    </font>
    <font>
      <name val="Arial"/>
      <i val="1"/>
      <color rgb="006B6B66"/>
      <sz val="8"/>
    </font>
    <font>
      <name val="Arial"/>
      <b val="1"/>
      <color rgb="006B6B66"/>
      <sz val="8"/>
    </font>
    <font>
      <name val="Arial"/>
      <color rgb="006B6B66"/>
      <sz val="8"/>
    </font>
    <font>
      <name val="Arial"/>
      <b val="1"/>
      <color rgb="00FFFFFF"/>
      <sz val="16"/>
    </font>
    <font>
      <name val="Arial"/>
      <i val="1"/>
      <color rgb="006B6B66"/>
      <sz val="9"/>
    </font>
    <font>
      <name val="Arial"/>
      <i val="1"/>
      <color rgb="006B6B66"/>
      <sz val="10"/>
    </font>
    <font>
      <name val="Arial"/>
      <color rgb="001C1C1E"/>
      <sz val="10"/>
    </font>
    <font>
      <name val="Arial"/>
      <sz val="10"/>
    </font>
    <font>
      <name val="Arial"/>
      <b val="1"/>
      <color rgb="000000FF"/>
      <sz val="12"/>
    </font>
    <font>
      <name val="Arial"/>
      <color rgb="000000FF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1C1C1E"/>
      <sz val="13"/>
    </font>
    <font>
      <name val="Arial"/>
      <b val="1"/>
      <color rgb="00E8674A"/>
      <sz val="10"/>
    </font>
    <font>
      <name val="Arial"/>
      <b val="1"/>
      <sz val="11"/>
    </font>
    <font>
      <name val="Arial"/>
      <b val="1"/>
      <color rgb="008FA98B"/>
      <sz val="11"/>
    </font>
    <font>
      <name val="Arial"/>
      <b val="1"/>
      <color rgb="00D4A853"/>
      <sz val="11"/>
    </font>
    <font>
      <name val="Arial"/>
      <b val="1"/>
      <i val="1"/>
      <color rgb="00E8674A"/>
      <sz val="10"/>
    </font>
  </fonts>
  <fills count="12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1EAD9"/>
      </patternFill>
    </fill>
    <fill>
      <patternFill patternType="solid">
        <fgColor rgb="00E8674A"/>
      </patternFill>
    </fill>
    <fill>
      <patternFill patternType="solid">
        <fgColor rgb="008FA98B"/>
      </patternFill>
    </fill>
    <fill>
      <patternFill patternType="solid">
        <fgColor rgb="00D4A853"/>
      </patternFill>
    </fill>
    <fill>
      <patternFill patternType="solid">
        <fgColor rgb="00C9B8D8"/>
      </patternFill>
    </fill>
    <fill>
      <patternFill patternType="solid">
        <fgColor rgb="00D98B87"/>
      </patternFill>
    </fill>
    <fill>
      <patternFill patternType="solid">
        <fgColor rgb="00FAF6EE"/>
      </patternFill>
    </fill>
    <fill>
      <patternFill patternType="solid">
        <fgColor rgb="00FFFFF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8D0BE"/>
      </left>
      <right style="thin">
        <color rgb="00D8D0BE"/>
      </right>
      <top style="thin">
        <color rgb="00D8D0BE"/>
      </top>
      <bottom style="thin">
        <color rgb="00D8D0B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9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9" borderId="0" pivotButton="0" quotePrefix="0" xfId="0"/>
    <xf numFmtId="0" fontId="6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9" fillId="9" borderId="0" pivotButton="0" quotePrefix="0" xfId="0"/>
    <xf numFmtId="166" fontId="9" fillId="9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12" fillId="3" borderId="1" pivotButton="0" quotePrefix="0" xfId="0"/>
    <xf numFmtId="164" fontId="12" fillId="3" borderId="1" pivotButton="0" quotePrefix="0" xfId="0"/>
    <xf numFmtId="166" fontId="12" fillId="3" borderId="1" pivotButton="0" quotePrefix="0" xfId="0"/>
    <xf numFmtId="0" fontId="13" fillId="10" borderId="1" pivotButton="0" quotePrefix="0" xfId="0"/>
    <xf numFmtId="164" fontId="13" fillId="10" borderId="1" pivotButton="0" quotePrefix="0" xfId="0"/>
    <xf numFmtId="166" fontId="13" fillId="10" borderId="1" pivotButton="0" quotePrefix="0" xfId="0"/>
    <xf numFmtId="0" fontId="13" fillId="9" borderId="1" pivotButton="0" quotePrefix="0" xfId="0"/>
    <xf numFmtId="164" fontId="13" fillId="9" borderId="1" pivotButton="0" quotePrefix="0" xfId="0"/>
    <xf numFmtId="166" fontId="13" fillId="9" borderId="1" pivotButton="0" quotePrefix="0" xfId="0"/>
    <xf numFmtId="0" fontId="14" fillId="9" borderId="0" pivotButton="0" quotePrefix="0" xfId="0"/>
    <xf numFmtId="164" fontId="15" fillId="11" borderId="1" pivotButton="0" quotePrefix="0" xfId="0"/>
    <xf numFmtId="0" fontId="11" fillId="9" borderId="0" pivotButton="0" quotePrefix="0" xfId="0"/>
    <xf numFmtId="0" fontId="14" fillId="9" borderId="1" pivotButton="0" quotePrefix="0" xfId="0"/>
    <xf numFmtId="167" fontId="16" fillId="11" borderId="1" pivotButton="0" quotePrefix="0" xfId="0"/>
    <xf numFmtId="168" fontId="16" fillId="11" borderId="1" pivotButton="0" quotePrefix="0" xfId="0"/>
    <xf numFmtId="0" fontId="17" fillId="4" borderId="0" pivotButton="0" quotePrefix="0" xfId="0"/>
    <xf numFmtId="0" fontId="18" fillId="9" borderId="0" pivotButton="0" quotePrefix="0" xfId="0"/>
    <xf numFmtId="0" fontId="0" fillId="11" borderId="1" pivotButton="0" quotePrefix="0" xfId="0"/>
    <xf numFmtId="0" fontId="13" fillId="9" borderId="0" pivotButton="0" quotePrefix="0" xfId="0"/>
    <xf numFmtId="164" fontId="13" fillId="9" borderId="0" pivotButton="0" quotePrefix="0" xfId="0"/>
    <xf numFmtId="0" fontId="19" fillId="9" borderId="0" pivotButton="0" quotePrefix="0" xfId="0"/>
    <xf numFmtId="164" fontId="4" fillId="3" borderId="0" pivotButton="0" quotePrefix="0" xfId="0"/>
    <xf numFmtId="0" fontId="20" fillId="3" borderId="1" pivotButton="0" quotePrefix="0" xfId="0"/>
    <xf numFmtId="0" fontId="20" fillId="10" borderId="1" pivotButton="0" quotePrefix="0" xfId="0"/>
    <xf numFmtId="0" fontId="20" fillId="9" borderId="1" pivotButton="0" quotePrefix="0" xfId="0"/>
    <xf numFmtId="0" fontId="21" fillId="0" borderId="0" pivotButton="0" quotePrefix="0" xfId="0"/>
    <xf numFmtId="164" fontId="22" fillId="0" borderId="0" pivotButton="0" quotePrefix="0" xfId="0"/>
    <xf numFmtId="164" fontId="23" fillId="0" borderId="0" pivotButton="0" quotePrefix="0" xfId="0"/>
    <xf numFmtId="0" fontId="14" fillId="9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ill>
        <patternFill patternType="solid">
          <fgColor rgb="00AFC8D6"/>
        </patternFill>
      </fill>
    </dxf>
    <dxf>
      <fill>
        <patternFill patternType="solid">
          <fgColor rgb="00D4A853"/>
        </patternFill>
      </fill>
    </dxf>
    <dxf>
      <fill>
        <patternFill patternType="solid">
          <fgColor rgb="00F2D93A"/>
        </patternFill>
      </fill>
    </dxf>
    <dxf>
      <fill>
        <patternFill patternType="solid">
          <fgColor rgb="00C9B8D8"/>
        </patternFill>
      </fill>
    </dxf>
    <dxf>
      <fill>
        <patternFill patternType="solid">
          <fgColor rgb="008FA98B"/>
        </patternFill>
      </fill>
    </dxf>
    <dxf>
      <fill>
        <patternFill patternType="solid">
          <fgColor rgb="00D98B87"/>
        </patternFill>
      </fill>
    </dxf>
    <dxf>
      <fill>
        <patternFill patternType="solid">
          <fgColor rgb="00E6E1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" customWidth="1" min="8" max="8"/>
  </cols>
  <sheetData>
    <row r="1" ht="42" customHeight="1">
      <c r="A1" s="1" t="n"/>
      <c r="B1" s="2" t="inlineStr">
        <is>
          <t>UGC CREATOR BUSINESS OS</t>
        </is>
      </c>
      <c r="C1" s="1" t="n"/>
      <c r="D1" s="1" t="n"/>
      <c r="E1" s="1" t="n"/>
      <c r="F1" s="1" t="n"/>
      <c r="G1" s="1" t="n"/>
      <c r="H1" s="1" t="n"/>
    </row>
    <row r="2" ht="22" customHeight="1">
      <c r="A2" s="1" t="n"/>
      <c r="B2" s="3" t="inlineStr">
        <is>
          <t>Your brand-deal command center — pipeline, pricing, invoices, and content in one place.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0" customHeight="1">
      <c r="A4" s="1" t="n"/>
      <c r="B4" s="4" t="inlineStr">
        <is>
          <t>ACTIVE PIPELINE VALUE</t>
        </is>
      </c>
      <c r="C4" s="1" t="n"/>
      <c r="D4" s="5" t="inlineStr">
        <is>
          <t>REVENUE — THIS MONTH</t>
        </is>
      </c>
      <c r="E4" s="1" t="n"/>
      <c r="F4" s="5" t="inlineStr">
        <is>
          <t>REVENUE — THIS QUARTER</t>
        </is>
      </c>
      <c r="G4" s="1" t="n"/>
      <c r="H4" s="1" t="n"/>
    </row>
    <row r="5" ht="28" customHeight="1">
      <c r="A5" s="1" t="n"/>
      <c r="B5" s="6">
        <f>SUMPRODUCT((('Brand Deal Pipeline'!$E$4:$E$103="Lead")+('Brand Deal Pipeline'!$E$4:$E$103="Pitched")+('Brand Deal Pipeline'!$E$4:$E$103="Negotiating")+('Brand Deal Pipeline'!$E$4:$E$103="Contract Sent"))*('Brand Deal Pipeline'!$I$4:$I$103))</f>
        <v/>
      </c>
      <c r="C5" s="1" t="n"/>
      <c r="D5" s="6">
        <f>SUMIFS(Invoices!$E$4:$E$103,Invoices!$F$4:$F$103,"Paid",Invoices!$I$4:$I$103,"&gt;="&amp;$B$31,Invoices!$I$4:$I$103,"&lt;="&amp;$C$31)</f>
        <v/>
      </c>
      <c r="E5" s="1" t="n"/>
      <c r="F5" s="6">
        <f>SUMIFS(Invoices!$E$4:$E$103,Invoices!$F$4:$F$103,"Paid",Invoices!$I$4:$I$103,"&gt;="&amp;$B$32,Invoices!$I$4:$I$103,"&lt;="&amp;$C$32)</f>
        <v/>
      </c>
      <c r="G5" s="1" t="n"/>
      <c r="H5" s="1" t="n"/>
    </row>
    <row r="6" ht="10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 ht="20" customHeight="1">
      <c r="A8" s="1" t="n"/>
      <c r="B8" s="7" t="inlineStr">
        <is>
          <t>REVENUE — THIS YEAR</t>
        </is>
      </c>
      <c r="C8" s="1" t="n"/>
      <c r="D8" s="8" t="inlineStr">
        <is>
          <t>ACTIVE DEALS</t>
        </is>
      </c>
      <c r="E8" s="1" t="n"/>
      <c r="F8" s="8" t="inlineStr">
        <is>
          <t>WIN RATE</t>
        </is>
      </c>
      <c r="G8" s="1" t="n"/>
      <c r="H8" s="1" t="n"/>
    </row>
    <row r="9" ht="28" customHeight="1">
      <c r="A9" s="1" t="n"/>
      <c r="B9" s="6">
        <f>SUMIFS(Invoices!$E$4:$E$103,Invoices!$F$4:$F$103,"Paid",Invoices!$I$4:$I$103,"&gt;="&amp;$B$33,Invoices!$I$4:$I$103,"&lt;="&amp;$C$33)</f>
        <v/>
      </c>
      <c r="C9" s="1" t="n"/>
      <c r="D9" s="9">
        <f>SUMPRODUCT((('Brand Deal Pipeline'!$E$4:$E$103="Lead")+('Brand Deal Pipeline'!$E$4:$E$103="Pitched")+('Brand Deal Pipeline'!$E$4:$E$103="Negotiating")+('Brand Deal Pipeline'!$E$4:$E$103="Contract Sent"))*1)</f>
        <v/>
      </c>
      <c r="E9" s="1" t="n"/>
      <c r="F9" s="10">
        <f>IFERROR(COUNTIF('Brand Deal Pipeline'!$E$4:$E$103,"Closed-Won")/(COUNTIF('Brand Deal Pipeline'!$E$4:$E$103,"Closed-Won")+COUNTIF('Brand Deal Pipeline'!$E$4:$E$103,"Closed-Lost")),0)</f>
        <v/>
      </c>
      <c r="G9" s="1" t="n"/>
      <c r="H9" s="1" t="n"/>
    </row>
    <row r="10" ht="10" customHeight="1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20" customHeight="1">
      <c r="A12" s="1" t="n"/>
      <c r="B12" s="11" t="inlineStr">
        <is>
          <t>AVG DEAL SIZE (CLOSED-WON)</t>
        </is>
      </c>
      <c r="C12" s="1" t="n"/>
      <c r="D12" s="12" t="inlineStr">
        <is>
          <t>TOTAL UNPAID INVOICES</t>
        </is>
      </c>
      <c r="E12" s="1" t="n"/>
      <c r="F12" s="7" t="inlineStr">
        <is>
          <t>TOTAL PAID INVOICES</t>
        </is>
      </c>
      <c r="G12" s="1" t="n"/>
      <c r="H12" s="1" t="n"/>
    </row>
    <row r="13" ht="28" customHeight="1">
      <c r="A13" s="1" t="n"/>
      <c r="B13" s="6">
        <f>IFERROR(AVERAGEIF('Brand Deal Pipeline'!$E$4:$E$103,"Closed-Won",'Brand Deal Pipeline'!$I$4:$I$103),0)</f>
        <v/>
      </c>
      <c r="C13" s="1" t="n"/>
      <c r="D13" s="6">
        <f>SUMIF(Invoices!$F$4:$F$103,"Unpaid",Invoices!$E$4:$E$103)</f>
        <v/>
      </c>
      <c r="E13" s="1" t="n"/>
      <c r="F13" s="6">
        <f>SUMIF(Invoices!$F$4:$F$103,"Paid",Invoices!$E$4:$E$103)</f>
        <v/>
      </c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3" t="inlineStr">
        <is>
          <t>How to use this workbook</t>
        </is>
      </c>
      <c r="C16" s="1" t="n"/>
      <c r="D16" s="1" t="n"/>
      <c r="E16" s="1" t="n"/>
      <c r="F16" s="1" t="n"/>
      <c r="G16" s="1" t="n"/>
      <c r="H16" s="1" t="n"/>
    </row>
    <row r="17" ht="16" customHeight="1">
      <c r="A17" s="1" t="n"/>
      <c r="B17" s="14" t="inlineStr">
        <is>
          <t>1. Brand Deal Pipeline — log every brand conversation the moment it starts, even a cold DM.</t>
        </is>
      </c>
      <c r="C17" s="1" t="n"/>
      <c r="D17" s="1" t="n"/>
      <c r="E17" s="1" t="n"/>
      <c r="F17" s="1" t="n"/>
      <c r="G17" s="1" t="n"/>
      <c r="H17" s="1" t="n"/>
    </row>
    <row r="18" ht="16" customHeight="1">
      <c r="A18" s="1" t="n"/>
      <c r="B18" s="14" t="inlineStr">
        <is>
          <t>2. Rate Calculator — use it BEFORE you quote a brand. Never quote off the top of your head.</t>
        </is>
      </c>
      <c r="C18" s="1" t="n"/>
      <c r="D18" s="1" t="n"/>
      <c r="E18" s="1" t="n"/>
      <c r="F18" s="1" t="n"/>
      <c r="G18" s="1" t="n"/>
      <c r="H18" s="1" t="n"/>
    </row>
    <row r="19" ht="16" customHeight="1">
      <c r="A19" s="1" t="n"/>
      <c r="B19" s="14" t="inlineStr">
        <is>
          <t>3. Invoices — every deal that closes gets an invoice row, so revenue here stays real.</t>
        </is>
      </c>
      <c r="C19" s="1" t="n"/>
      <c r="D19" s="1" t="n"/>
      <c r="E19" s="1" t="n"/>
      <c r="F19" s="1" t="n"/>
      <c r="G19" s="1" t="n"/>
      <c r="H19" s="1" t="n"/>
    </row>
    <row r="20" ht="16" customHeight="1">
      <c r="A20" s="1" t="n"/>
      <c r="B20" s="14" t="inlineStr">
        <is>
          <t>4. Content Calendar — plan filming/editing/posting per deal so nothing misses a deadline.</t>
        </is>
      </c>
      <c r="C20" s="1" t="n"/>
      <c r="D20" s="1" t="n"/>
      <c r="E20" s="1" t="n"/>
      <c r="F20" s="1" t="n"/>
      <c r="G20" s="1" t="n"/>
      <c r="H20" s="1" t="n"/>
    </row>
    <row r="21" ht="16" customHeight="1">
      <c r="A21" s="1" t="n"/>
      <c r="B21" s="14" t="inlineStr">
        <is>
          <t>5. Usage Rights Cheat Sheet — read this once. It's the #1 place new UGC creators lose money.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5" t="inlineStr">
        <is>
          <t>Internal helper cells — power the date formulas above. Don't delete.</t>
        </is>
      </c>
      <c r="C29" s="1" t="n"/>
      <c r="D29" s="1" t="n"/>
      <c r="E29" s="1" t="n"/>
      <c r="F29" s="1" t="n"/>
      <c r="G29" s="1" t="n"/>
      <c r="H29" s="1" t="n"/>
    </row>
    <row r="30">
      <c r="A30" s="16" t="inlineStr">
        <is>
          <t>Range</t>
        </is>
      </c>
      <c r="B30" s="16" t="inlineStr">
        <is>
          <t>Start</t>
        </is>
      </c>
      <c r="C30" s="16" t="inlineStr">
        <is>
          <t>End</t>
        </is>
      </c>
      <c r="D30" s="1" t="n"/>
      <c r="E30" s="1" t="n"/>
      <c r="F30" s="1" t="n"/>
      <c r="G30" s="1" t="n"/>
      <c r="H30" s="1" t="n"/>
    </row>
    <row r="31">
      <c r="A31" s="17" t="inlineStr">
        <is>
          <t>Month</t>
        </is>
      </c>
      <c r="B31" s="18">
        <f>DATE(YEAR(TODAY()),MONTH(TODAY()),1)</f>
        <v/>
      </c>
      <c r="C31" s="18">
        <f>EOMONTH(B31,0)</f>
        <v/>
      </c>
      <c r="D31" s="1" t="n"/>
      <c r="E31" s="1" t="n"/>
      <c r="F31" s="1" t="n"/>
      <c r="G31" s="1" t="n"/>
      <c r="H31" s="1" t="n"/>
    </row>
    <row r="32">
      <c r="A32" s="17" t="inlineStr">
        <is>
          <t>Quarter</t>
        </is>
      </c>
      <c r="B32" s="18">
        <f>DATE(YEAR(TODAY()),(ROUNDUP(MONTH(TODAY())/3,0)*3)-2,1)</f>
        <v/>
      </c>
      <c r="C32" s="18">
        <f>EOMONTH(B32,2)</f>
        <v/>
      </c>
      <c r="D32" s="1" t="n"/>
      <c r="E32" s="1" t="n"/>
      <c r="F32" s="1" t="n"/>
      <c r="G32" s="1" t="n"/>
      <c r="H32" s="1" t="n"/>
    </row>
    <row r="33">
      <c r="A33" s="17" t="inlineStr">
        <is>
          <t>Year</t>
        </is>
      </c>
      <c r="B33" s="18">
        <f>DATE(YEAR(TODAY()),1,1)</f>
        <v/>
      </c>
      <c r="C33" s="18">
        <f>DATE(YEAR(TODAY()),12,31)</f>
        <v/>
      </c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</sheetData>
  <mergeCells count="27">
    <mergeCell ref="B2:G2"/>
    <mergeCell ref="F4:G4"/>
    <mergeCell ref="B13:C14"/>
    <mergeCell ref="B17:G17"/>
    <mergeCell ref="B1:G1"/>
    <mergeCell ref="F13:G14"/>
    <mergeCell ref="B9:C10"/>
    <mergeCell ref="B29:G29"/>
    <mergeCell ref="D9:E10"/>
    <mergeCell ref="B12:C12"/>
    <mergeCell ref="F9:G10"/>
    <mergeCell ref="B19:G19"/>
    <mergeCell ref="F12:G12"/>
    <mergeCell ref="B5:C6"/>
    <mergeCell ref="D5:E6"/>
    <mergeCell ref="B8:C8"/>
    <mergeCell ref="F8:G8"/>
    <mergeCell ref="B20:G20"/>
    <mergeCell ref="D4:E4"/>
    <mergeCell ref="D12:E12"/>
    <mergeCell ref="D8:E8"/>
    <mergeCell ref="B16:G16"/>
    <mergeCell ref="F5:G6"/>
    <mergeCell ref="B18:G18"/>
    <mergeCell ref="B21:G21"/>
    <mergeCell ref="B4:C4"/>
    <mergeCell ref="D13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8" customWidth="1" min="4" max="4"/>
    <col width="14" customWidth="1" min="5" max="5"/>
    <col width="12" customWidth="1" min="6" max="6"/>
    <col width="20" customWidth="1" min="7" max="7"/>
    <col width="14" customWidth="1" min="8" max="8"/>
    <col width="14" customWidth="1" min="9" max="9"/>
    <col width="12" customWidth="1" min="10" max="10"/>
    <col width="26" customWidth="1" min="11" max="11"/>
  </cols>
  <sheetData>
    <row r="1" ht="30" customHeight="1">
      <c r="A1" s="19" t="inlineStr">
        <is>
          <t>BRAND DEAL PIPELINE</t>
        </is>
      </c>
    </row>
    <row r="2" ht="18" customHeight="1">
      <c r="A2" s="20" t="inlineStr">
        <is>
          <t>Log every deal the moment it starts. Row 3 is an example — overwrite it.</t>
        </is>
      </c>
    </row>
    <row r="3" ht="30" customHeight="1">
      <c r="A3" s="21" t="inlineStr">
        <is>
          <t>Brand Name</t>
        </is>
      </c>
      <c r="B3" s="21" t="inlineStr">
        <is>
          <t>Contact Name</t>
        </is>
      </c>
      <c r="C3" s="21" t="inlineStr">
        <is>
          <t>Contact Email</t>
        </is>
      </c>
      <c r="D3" s="21" t="inlineStr">
        <is>
          <t>Deliverable Type</t>
        </is>
      </c>
      <c r="E3" s="21" t="inlineStr">
        <is>
          <t>Stage</t>
        </is>
      </c>
      <c r="F3" s="21" t="inlineStr">
        <is>
          <t>Rate Quoted</t>
        </is>
      </c>
      <c r="G3" s="21" t="inlineStr">
        <is>
          <t>Usage Rights</t>
        </is>
      </c>
      <c r="H3" s="21" t="inlineStr">
        <is>
          <t>Usage Fee Add-on</t>
        </is>
      </c>
      <c r="I3" s="21" t="inlineStr">
        <is>
          <t>Total Deal Value</t>
        </is>
      </c>
      <c r="J3" s="21" t="inlineStr">
        <is>
          <t>Deadline</t>
        </is>
      </c>
      <c r="K3" s="21" t="inlineStr">
        <is>
          <t>Notes</t>
        </is>
      </c>
    </row>
    <row r="4">
      <c r="A4" s="22" t="inlineStr">
        <is>
          <t>Glow Skincare Co.</t>
        </is>
      </c>
      <c r="B4" s="22" t="inlineStr">
        <is>
          <t>Maria Lopez</t>
        </is>
      </c>
      <c r="C4" s="22" t="inlineStr">
        <is>
          <t>maria@glowskincare.com</t>
        </is>
      </c>
      <c r="D4" s="22" t="inlineStr">
        <is>
          <t>Video</t>
        </is>
      </c>
      <c r="E4" s="22" t="inlineStr">
        <is>
          <t>Negotiating</t>
        </is>
      </c>
      <c r="F4" s="23" t="n">
        <v>250</v>
      </c>
      <c r="G4" s="22" t="inlineStr">
        <is>
          <t>Whitelisted 30 Days</t>
        </is>
      </c>
      <c r="H4" s="23" t="n">
        <v>62.5</v>
      </c>
      <c r="I4" s="23">
        <f>F4+H4</f>
        <v/>
      </c>
      <c r="J4" s="24" t="inlineStr">
        <is>
          <t>2026-09-15</t>
        </is>
      </c>
      <c r="K4" s="22" t="inlineStr">
        <is>
          <t>Wants 2 revisions included</t>
        </is>
      </c>
    </row>
    <row r="5">
      <c r="A5" s="25" t="n"/>
      <c r="B5" s="25" t="n"/>
      <c r="C5" s="25" t="n"/>
      <c r="D5" s="25" t="n"/>
      <c r="E5" s="25" t="n"/>
      <c r="F5" s="26" t="n"/>
      <c r="G5" s="25" t="n"/>
      <c r="H5" s="26" t="n"/>
      <c r="I5" s="26">
        <f>F5+H5</f>
        <v/>
      </c>
      <c r="J5" s="27" t="n"/>
      <c r="K5" s="25" t="n"/>
    </row>
    <row r="6">
      <c r="A6" s="28" t="n"/>
      <c r="B6" s="28" t="n"/>
      <c r="C6" s="28" t="n"/>
      <c r="D6" s="28" t="n"/>
      <c r="E6" s="28" t="n"/>
      <c r="F6" s="29" t="n"/>
      <c r="G6" s="28" t="n"/>
      <c r="H6" s="29" t="n"/>
      <c r="I6" s="29">
        <f>F6+H6</f>
        <v/>
      </c>
      <c r="J6" s="30" t="n"/>
      <c r="K6" s="28" t="n"/>
    </row>
    <row r="7">
      <c r="A7" s="25" t="n"/>
      <c r="B7" s="25" t="n"/>
      <c r="C7" s="25" t="n"/>
      <c r="D7" s="25" t="n"/>
      <c r="E7" s="25" t="n"/>
      <c r="F7" s="26" t="n"/>
      <c r="G7" s="25" t="n"/>
      <c r="H7" s="26" t="n"/>
      <c r="I7" s="26">
        <f>F7+H7</f>
        <v/>
      </c>
      <c r="J7" s="27" t="n"/>
      <c r="K7" s="25" t="n"/>
    </row>
    <row r="8">
      <c r="A8" s="28" t="n"/>
      <c r="B8" s="28" t="n"/>
      <c r="C8" s="28" t="n"/>
      <c r="D8" s="28" t="n"/>
      <c r="E8" s="28" t="n"/>
      <c r="F8" s="29" t="n"/>
      <c r="G8" s="28" t="n"/>
      <c r="H8" s="29" t="n"/>
      <c r="I8" s="29">
        <f>F8+H8</f>
        <v/>
      </c>
      <c r="J8" s="30" t="n"/>
      <c r="K8" s="28" t="n"/>
    </row>
    <row r="9">
      <c r="A9" s="25" t="n"/>
      <c r="B9" s="25" t="n"/>
      <c r="C9" s="25" t="n"/>
      <c r="D9" s="25" t="n"/>
      <c r="E9" s="25" t="n"/>
      <c r="F9" s="26" t="n"/>
      <c r="G9" s="25" t="n"/>
      <c r="H9" s="26" t="n"/>
      <c r="I9" s="26">
        <f>F9+H9</f>
        <v/>
      </c>
      <c r="J9" s="27" t="n"/>
      <c r="K9" s="25" t="n"/>
    </row>
    <row r="10">
      <c r="A10" s="28" t="n"/>
      <c r="B10" s="28" t="n"/>
      <c r="C10" s="28" t="n"/>
      <c r="D10" s="28" t="n"/>
      <c r="E10" s="28" t="n"/>
      <c r="F10" s="29" t="n"/>
      <c r="G10" s="28" t="n"/>
      <c r="H10" s="29" t="n"/>
      <c r="I10" s="29">
        <f>F10+H10</f>
        <v/>
      </c>
      <c r="J10" s="30" t="n"/>
      <c r="K10" s="28" t="n"/>
    </row>
    <row r="11">
      <c r="A11" s="25" t="n"/>
      <c r="B11" s="25" t="n"/>
      <c r="C11" s="25" t="n"/>
      <c r="D11" s="25" t="n"/>
      <c r="E11" s="25" t="n"/>
      <c r="F11" s="26" t="n"/>
      <c r="G11" s="25" t="n"/>
      <c r="H11" s="26" t="n"/>
      <c r="I11" s="26">
        <f>F11+H11</f>
        <v/>
      </c>
      <c r="J11" s="27" t="n"/>
      <c r="K11" s="25" t="n"/>
    </row>
    <row r="12">
      <c r="A12" s="28" t="n"/>
      <c r="B12" s="28" t="n"/>
      <c r="C12" s="28" t="n"/>
      <c r="D12" s="28" t="n"/>
      <c r="E12" s="28" t="n"/>
      <c r="F12" s="29" t="n"/>
      <c r="G12" s="28" t="n"/>
      <c r="H12" s="29" t="n"/>
      <c r="I12" s="29">
        <f>F12+H12</f>
        <v/>
      </c>
      <c r="J12" s="30" t="n"/>
      <c r="K12" s="28" t="n"/>
    </row>
    <row r="13">
      <c r="A13" s="25" t="n"/>
      <c r="B13" s="25" t="n"/>
      <c r="C13" s="25" t="n"/>
      <c r="D13" s="25" t="n"/>
      <c r="E13" s="25" t="n"/>
      <c r="F13" s="26" t="n"/>
      <c r="G13" s="25" t="n"/>
      <c r="H13" s="26" t="n"/>
      <c r="I13" s="26">
        <f>F13+H13</f>
        <v/>
      </c>
      <c r="J13" s="27" t="n"/>
      <c r="K13" s="25" t="n"/>
    </row>
    <row r="14">
      <c r="A14" s="28" t="n"/>
      <c r="B14" s="28" t="n"/>
      <c r="C14" s="28" t="n"/>
      <c r="D14" s="28" t="n"/>
      <c r="E14" s="28" t="n"/>
      <c r="F14" s="29" t="n"/>
      <c r="G14" s="28" t="n"/>
      <c r="H14" s="29" t="n"/>
      <c r="I14" s="29">
        <f>F14+H14</f>
        <v/>
      </c>
      <c r="J14" s="30" t="n"/>
      <c r="K14" s="28" t="n"/>
    </row>
    <row r="15">
      <c r="A15" s="25" t="n"/>
      <c r="B15" s="25" t="n"/>
      <c r="C15" s="25" t="n"/>
      <c r="D15" s="25" t="n"/>
      <c r="E15" s="25" t="n"/>
      <c r="F15" s="26" t="n"/>
      <c r="G15" s="25" t="n"/>
      <c r="H15" s="26" t="n"/>
      <c r="I15" s="26">
        <f>F15+H15</f>
        <v/>
      </c>
      <c r="J15" s="27" t="n"/>
      <c r="K15" s="25" t="n"/>
    </row>
    <row r="16">
      <c r="A16" s="28" t="n"/>
      <c r="B16" s="28" t="n"/>
      <c r="C16" s="28" t="n"/>
      <c r="D16" s="28" t="n"/>
      <c r="E16" s="28" t="n"/>
      <c r="F16" s="29" t="n"/>
      <c r="G16" s="28" t="n"/>
      <c r="H16" s="29" t="n"/>
      <c r="I16" s="29">
        <f>F16+H16</f>
        <v/>
      </c>
      <c r="J16" s="30" t="n"/>
      <c r="K16" s="28" t="n"/>
    </row>
    <row r="17">
      <c r="A17" s="25" t="n"/>
      <c r="B17" s="25" t="n"/>
      <c r="C17" s="25" t="n"/>
      <c r="D17" s="25" t="n"/>
      <c r="E17" s="25" t="n"/>
      <c r="F17" s="26" t="n"/>
      <c r="G17" s="25" t="n"/>
      <c r="H17" s="26" t="n"/>
      <c r="I17" s="26">
        <f>F17+H17</f>
        <v/>
      </c>
      <c r="J17" s="27" t="n"/>
      <c r="K17" s="25" t="n"/>
    </row>
    <row r="18">
      <c r="A18" s="28" t="n"/>
      <c r="B18" s="28" t="n"/>
      <c r="C18" s="28" t="n"/>
      <c r="D18" s="28" t="n"/>
      <c r="E18" s="28" t="n"/>
      <c r="F18" s="29" t="n"/>
      <c r="G18" s="28" t="n"/>
      <c r="H18" s="29" t="n"/>
      <c r="I18" s="29">
        <f>F18+H18</f>
        <v/>
      </c>
      <c r="J18" s="30" t="n"/>
      <c r="K18" s="28" t="n"/>
    </row>
    <row r="19">
      <c r="A19" s="25" t="n"/>
      <c r="B19" s="25" t="n"/>
      <c r="C19" s="25" t="n"/>
      <c r="D19" s="25" t="n"/>
      <c r="E19" s="25" t="n"/>
      <c r="F19" s="26" t="n"/>
      <c r="G19" s="25" t="n"/>
      <c r="H19" s="26" t="n"/>
      <c r="I19" s="26">
        <f>F19+H19</f>
        <v/>
      </c>
      <c r="J19" s="27" t="n"/>
      <c r="K19" s="25" t="n"/>
    </row>
    <row r="20">
      <c r="A20" s="28" t="n"/>
      <c r="B20" s="28" t="n"/>
      <c r="C20" s="28" t="n"/>
      <c r="D20" s="28" t="n"/>
      <c r="E20" s="28" t="n"/>
      <c r="F20" s="29" t="n"/>
      <c r="G20" s="28" t="n"/>
      <c r="H20" s="29" t="n"/>
      <c r="I20" s="29">
        <f>F20+H20</f>
        <v/>
      </c>
      <c r="J20" s="30" t="n"/>
      <c r="K20" s="28" t="n"/>
    </row>
    <row r="21">
      <c r="A21" s="25" t="n"/>
      <c r="B21" s="25" t="n"/>
      <c r="C21" s="25" t="n"/>
      <c r="D21" s="25" t="n"/>
      <c r="E21" s="25" t="n"/>
      <c r="F21" s="26" t="n"/>
      <c r="G21" s="25" t="n"/>
      <c r="H21" s="26" t="n"/>
      <c r="I21" s="26">
        <f>F21+H21</f>
        <v/>
      </c>
      <c r="J21" s="27" t="n"/>
      <c r="K21" s="25" t="n"/>
    </row>
    <row r="22">
      <c r="A22" s="28" t="n"/>
      <c r="B22" s="28" t="n"/>
      <c r="C22" s="28" t="n"/>
      <c r="D22" s="28" t="n"/>
      <c r="E22" s="28" t="n"/>
      <c r="F22" s="29" t="n"/>
      <c r="G22" s="28" t="n"/>
      <c r="H22" s="29" t="n"/>
      <c r="I22" s="29">
        <f>F22+H22</f>
        <v/>
      </c>
      <c r="J22" s="30" t="n"/>
      <c r="K22" s="28" t="n"/>
    </row>
    <row r="23">
      <c r="A23" s="25" t="n"/>
      <c r="B23" s="25" t="n"/>
      <c r="C23" s="25" t="n"/>
      <c r="D23" s="25" t="n"/>
      <c r="E23" s="25" t="n"/>
      <c r="F23" s="26" t="n"/>
      <c r="G23" s="25" t="n"/>
      <c r="H23" s="26" t="n"/>
      <c r="I23" s="26">
        <f>F23+H23</f>
        <v/>
      </c>
      <c r="J23" s="27" t="n"/>
      <c r="K23" s="25" t="n"/>
    </row>
    <row r="24">
      <c r="A24" s="28" t="n"/>
      <c r="B24" s="28" t="n"/>
      <c r="C24" s="28" t="n"/>
      <c r="D24" s="28" t="n"/>
      <c r="E24" s="28" t="n"/>
      <c r="F24" s="29" t="n"/>
      <c r="G24" s="28" t="n"/>
      <c r="H24" s="29" t="n"/>
      <c r="I24" s="29">
        <f>F24+H24</f>
        <v/>
      </c>
      <c r="J24" s="30" t="n"/>
      <c r="K24" s="28" t="n"/>
    </row>
    <row r="25">
      <c r="A25" s="25" t="n"/>
      <c r="B25" s="25" t="n"/>
      <c r="C25" s="25" t="n"/>
      <c r="D25" s="25" t="n"/>
      <c r="E25" s="25" t="n"/>
      <c r="F25" s="26" t="n"/>
      <c r="G25" s="25" t="n"/>
      <c r="H25" s="26" t="n"/>
      <c r="I25" s="26">
        <f>F25+H25</f>
        <v/>
      </c>
      <c r="J25" s="27" t="n"/>
      <c r="K25" s="25" t="n"/>
    </row>
    <row r="26">
      <c r="A26" s="28" t="n"/>
      <c r="B26" s="28" t="n"/>
      <c r="C26" s="28" t="n"/>
      <c r="D26" s="28" t="n"/>
      <c r="E26" s="28" t="n"/>
      <c r="F26" s="29" t="n"/>
      <c r="G26" s="28" t="n"/>
      <c r="H26" s="29" t="n"/>
      <c r="I26" s="29">
        <f>F26+H26</f>
        <v/>
      </c>
      <c r="J26" s="30" t="n"/>
      <c r="K26" s="28" t="n"/>
    </row>
    <row r="27">
      <c r="A27" s="25" t="n"/>
      <c r="B27" s="25" t="n"/>
      <c r="C27" s="25" t="n"/>
      <c r="D27" s="25" t="n"/>
      <c r="E27" s="25" t="n"/>
      <c r="F27" s="26" t="n"/>
      <c r="G27" s="25" t="n"/>
      <c r="H27" s="26" t="n"/>
      <c r="I27" s="26">
        <f>F27+H27</f>
        <v/>
      </c>
      <c r="J27" s="27" t="n"/>
      <c r="K27" s="25" t="n"/>
    </row>
    <row r="28">
      <c r="A28" s="28" t="n"/>
      <c r="B28" s="28" t="n"/>
      <c r="C28" s="28" t="n"/>
      <c r="D28" s="28" t="n"/>
      <c r="E28" s="28" t="n"/>
      <c r="F28" s="29" t="n"/>
      <c r="G28" s="28" t="n"/>
      <c r="H28" s="29" t="n"/>
      <c r="I28" s="29">
        <f>F28+H28</f>
        <v/>
      </c>
      <c r="J28" s="30" t="n"/>
      <c r="K28" s="28" t="n"/>
    </row>
    <row r="29">
      <c r="A29" s="25" t="n"/>
      <c r="B29" s="25" t="n"/>
      <c r="C29" s="25" t="n"/>
      <c r="D29" s="25" t="n"/>
      <c r="E29" s="25" t="n"/>
      <c r="F29" s="26" t="n"/>
      <c r="G29" s="25" t="n"/>
      <c r="H29" s="26" t="n"/>
      <c r="I29" s="26">
        <f>F29+H29</f>
        <v/>
      </c>
      <c r="J29" s="27" t="n"/>
      <c r="K29" s="25" t="n"/>
    </row>
    <row r="30">
      <c r="A30" s="28" t="n"/>
      <c r="B30" s="28" t="n"/>
      <c r="C30" s="28" t="n"/>
      <c r="D30" s="28" t="n"/>
      <c r="E30" s="28" t="n"/>
      <c r="F30" s="29" t="n"/>
      <c r="G30" s="28" t="n"/>
      <c r="H30" s="29" t="n"/>
      <c r="I30" s="29">
        <f>F30+H30</f>
        <v/>
      </c>
      <c r="J30" s="30" t="n"/>
      <c r="K30" s="28" t="n"/>
    </row>
    <row r="31">
      <c r="A31" s="25" t="n"/>
      <c r="B31" s="25" t="n"/>
      <c r="C31" s="25" t="n"/>
      <c r="D31" s="25" t="n"/>
      <c r="E31" s="25" t="n"/>
      <c r="F31" s="26" t="n"/>
      <c r="G31" s="25" t="n"/>
      <c r="H31" s="26" t="n"/>
      <c r="I31" s="26">
        <f>F31+H31</f>
        <v/>
      </c>
      <c r="J31" s="27" t="n"/>
      <c r="K31" s="25" t="n"/>
    </row>
    <row r="32">
      <c r="A32" s="28" t="n"/>
      <c r="B32" s="28" t="n"/>
      <c r="C32" s="28" t="n"/>
      <c r="D32" s="28" t="n"/>
      <c r="E32" s="28" t="n"/>
      <c r="F32" s="29" t="n"/>
      <c r="G32" s="28" t="n"/>
      <c r="H32" s="29" t="n"/>
      <c r="I32" s="29">
        <f>F32+H32</f>
        <v/>
      </c>
      <c r="J32" s="30" t="n"/>
      <c r="K32" s="28" t="n"/>
    </row>
    <row r="33">
      <c r="A33" s="25" t="n"/>
      <c r="B33" s="25" t="n"/>
      <c r="C33" s="25" t="n"/>
      <c r="D33" s="25" t="n"/>
      <c r="E33" s="25" t="n"/>
      <c r="F33" s="26" t="n"/>
      <c r="G33" s="25" t="n"/>
      <c r="H33" s="26" t="n"/>
      <c r="I33" s="26">
        <f>F33+H33</f>
        <v/>
      </c>
      <c r="J33" s="27" t="n"/>
      <c r="K33" s="25" t="n"/>
    </row>
    <row r="34">
      <c r="A34" s="28" t="n"/>
      <c r="B34" s="28" t="n"/>
      <c r="C34" s="28" t="n"/>
      <c r="D34" s="28" t="n"/>
      <c r="E34" s="28" t="n"/>
      <c r="F34" s="29" t="n"/>
      <c r="G34" s="28" t="n"/>
      <c r="H34" s="29" t="n"/>
      <c r="I34" s="29">
        <f>F34+H34</f>
        <v/>
      </c>
      <c r="J34" s="30" t="n"/>
      <c r="K34" s="28" t="n"/>
    </row>
    <row r="35">
      <c r="A35" s="25" t="n"/>
      <c r="B35" s="25" t="n"/>
      <c r="C35" s="25" t="n"/>
      <c r="D35" s="25" t="n"/>
      <c r="E35" s="25" t="n"/>
      <c r="F35" s="26" t="n"/>
      <c r="G35" s="25" t="n"/>
      <c r="H35" s="26" t="n"/>
      <c r="I35" s="26">
        <f>F35+H35</f>
        <v/>
      </c>
      <c r="J35" s="27" t="n"/>
      <c r="K35" s="25" t="n"/>
    </row>
    <row r="36">
      <c r="A36" s="28" t="n"/>
      <c r="B36" s="28" t="n"/>
      <c r="C36" s="28" t="n"/>
      <c r="D36" s="28" t="n"/>
      <c r="E36" s="28" t="n"/>
      <c r="F36" s="29" t="n"/>
      <c r="G36" s="28" t="n"/>
      <c r="H36" s="29" t="n"/>
      <c r="I36" s="29">
        <f>F36+H36</f>
        <v/>
      </c>
      <c r="J36" s="30" t="n"/>
      <c r="K36" s="28" t="n"/>
    </row>
    <row r="37">
      <c r="A37" s="25" t="n"/>
      <c r="B37" s="25" t="n"/>
      <c r="C37" s="25" t="n"/>
      <c r="D37" s="25" t="n"/>
      <c r="E37" s="25" t="n"/>
      <c r="F37" s="26" t="n"/>
      <c r="G37" s="25" t="n"/>
      <c r="H37" s="26" t="n"/>
      <c r="I37" s="26">
        <f>F37+H37</f>
        <v/>
      </c>
      <c r="J37" s="27" t="n"/>
      <c r="K37" s="25" t="n"/>
    </row>
    <row r="38">
      <c r="A38" s="28" t="n"/>
      <c r="B38" s="28" t="n"/>
      <c r="C38" s="28" t="n"/>
      <c r="D38" s="28" t="n"/>
      <c r="E38" s="28" t="n"/>
      <c r="F38" s="29" t="n"/>
      <c r="G38" s="28" t="n"/>
      <c r="H38" s="29" t="n"/>
      <c r="I38" s="29">
        <f>F38+H38</f>
        <v/>
      </c>
      <c r="J38" s="30" t="n"/>
      <c r="K38" s="28" t="n"/>
    </row>
    <row r="39">
      <c r="A39" s="25" t="n"/>
      <c r="B39" s="25" t="n"/>
      <c r="C39" s="25" t="n"/>
      <c r="D39" s="25" t="n"/>
      <c r="E39" s="25" t="n"/>
      <c r="F39" s="26" t="n"/>
      <c r="G39" s="25" t="n"/>
      <c r="H39" s="26" t="n"/>
      <c r="I39" s="26">
        <f>F39+H39</f>
        <v/>
      </c>
      <c r="J39" s="27" t="n"/>
      <c r="K39" s="25" t="n"/>
    </row>
    <row r="40">
      <c r="A40" s="28" t="n"/>
      <c r="B40" s="28" t="n"/>
      <c r="C40" s="28" t="n"/>
      <c r="D40" s="28" t="n"/>
      <c r="E40" s="28" t="n"/>
      <c r="F40" s="29" t="n"/>
      <c r="G40" s="28" t="n"/>
      <c r="H40" s="29" t="n"/>
      <c r="I40" s="29">
        <f>F40+H40</f>
        <v/>
      </c>
      <c r="J40" s="30" t="n"/>
      <c r="K40" s="28" t="n"/>
    </row>
    <row r="41">
      <c r="A41" s="25" t="n"/>
      <c r="B41" s="25" t="n"/>
      <c r="C41" s="25" t="n"/>
      <c r="D41" s="25" t="n"/>
      <c r="E41" s="25" t="n"/>
      <c r="F41" s="26" t="n"/>
      <c r="G41" s="25" t="n"/>
      <c r="H41" s="26" t="n"/>
      <c r="I41" s="26">
        <f>F41+H41</f>
        <v/>
      </c>
      <c r="J41" s="27" t="n"/>
      <c r="K41" s="25" t="n"/>
    </row>
    <row r="42">
      <c r="A42" s="28" t="n"/>
      <c r="B42" s="28" t="n"/>
      <c r="C42" s="28" t="n"/>
      <c r="D42" s="28" t="n"/>
      <c r="E42" s="28" t="n"/>
      <c r="F42" s="29" t="n"/>
      <c r="G42" s="28" t="n"/>
      <c r="H42" s="29" t="n"/>
      <c r="I42" s="29">
        <f>F42+H42</f>
        <v/>
      </c>
      <c r="J42" s="30" t="n"/>
      <c r="K42" s="28" t="n"/>
    </row>
    <row r="43">
      <c r="A43" s="25" t="n"/>
      <c r="B43" s="25" t="n"/>
      <c r="C43" s="25" t="n"/>
      <c r="D43" s="25" t="n"/>
      <c r="E43" s="25" t="n"/>
      <c r="F43" s="26" t="n"/>
      <c r="G43" s="25" t="n"/>
      <c r="H43" s="26" t="n"/>
      <c r="I43" s="26">
        <f>F43+H43</f>
        <v/>
      </c>
      <c r="J43" s="27" t="n"/>
      <c r="K43" s="25" t="n"/>
    </row>
    <row r="44">
      <c r="A44" s="28" t="n"/>
      <c r="B44" s="28" t="n"/>
      <c r="C44" s="28" t="n"/>
      <c r="D44" s="28" t="n"/>
      <c r="E44" s="28" t="n"/>
      <c r="F44" s="29" t="n"/>
      <c r="G44" s="28" t="n"/>
      <c r="H44" s="29" t="n"/>
      <c r="I44" s="29">
        <f>F44+H44</f>
        <v/>
      </c>
      <c r="J44" s="30" t="n"/>
      <c r="K44" s="28" t="n"/>
    </row>
    <row r="45">
      <c r="A45" s="25" t="n"/>
      <c r="B45" s="25" t="n"/>
      <c r="C45" s="25" t="n"/>
      <c r="D45" s="25" t="n"/>
      <c r="E45" s="25" t="n"/>
      <c r="F45" s="26" t="n"/>
      <c r="G45" s="25" t="n"/>
      <c r="H45" s="26" t="n"/>
      <c r="I45" s="26">
        <f>F45+H45</f>
        <v/>
      </c>
      <c r="J45" s="27" t="n"/>
      <c r="K45" s="25" t="n"/>
    </row>
    <row r="46">
      <c r="A46" s="28" t="n"/>
      <c r="B46" s="28" t="n"/>
      <c r="C46" s="28" t="n"/>
      <c r="D46" s="28" t="n"/>
      <c r="E46" s="28" t="n"/>
      <c r="F46" s="29" t="n"/>
      <c r="G46" s="28" t="n"/>
      <c r="H46" s="29" t="n"/>
      <c r="I46" s="29">
        <f>F46+H46</f>
        <v/>
      </c>
      <c r="J46" s="30" t="n"/>
      <c r="K46" s="28" t="n"/>
    </row>
    <row r="47">
      <c r="A47" s="25" t="n"/>
      <c r="B47" s="25" t="n"/>
      <c r="C47" s="25" t="n"/>
      <c r="D47" s="25" t="n"/>
      <c r="E47" s="25" t="n"/>
      <c r="F47" s="26" t="n"/>
      <c r="G47" s="25" t="n"/>
      <c r="H47" s="26" t="n"/>
      <c r="I47" s="26">
        <f>F47+H47</f>
        <v/>
      </c>
      <c r="J47" s="27" t="n"/>
      <c r="K47" s="25" t="n"/>
    </row>
    <row r="48">
      <c r="A48" s="28" t="n"/>
      <c r="B48" s="28" t="n"/>
      <c r="C48" s="28" t="n"/>
      <c r="D48" s="28" t="n"/>
      <c r="E48" s="28" t="n"/>
      <c r="F48" s="29" t="n"/>
      <c r="G48" s="28" t="n"/>
      <c r="H48" s="29" t="n"/>
      <c r="I48" s="29">
        <f>F48+H48</f>
        <v/>
      </c>
      <c r="J48" s="30" t="n"/>
      <c r="K48" s="28" t="n"/>
    </row>
    <row r="49">
      <c r="A49" s="25" t="n"/>
      <c r="B49" s="25" t="n"/>
      <c r="C49" s="25" t="n"/>
      <c r="D49" s="25" t="n"/>
      <c r="E49" s="25" t="n"/>
      <c r="F49" s="26" t="n"/>
      <c r="G49" s="25" t="n"/>
      <c r="H49" s="26" t="n"/>
      <c r="I49" s="26">
        <f>F49+H49</f>
        <v/>
      </c>
      <c r="J49" s="27" t="n"/>
      <c r="K49" s="25" t="n"/>
    </row>
    <row r="50">
      <c r="A50" s="28" t="n"/>
      <c r="B50" s="28" t="n"/>
      <c r="C50" s="28" t="n"/>
      <c r="D50" s="28" t="n"/>
      <c r="E50" s="28" t="n"/>
      <c r="F50" s="29" t="n"/>
      <c r="G50" s="28" t="n"/>
      <c r="H50" s="29" t="n"/>
      <c r="I50" s="29">
        <f>F50+H50</f>
        <v/>
      </c>
      <c r="J50" s="30" t="n"/>
      <c r="K50" s="28" t="n"/>
    </row>
    <row r="51">
      <c r="A51" s="25" t="n"/>
      <c r="B51" s="25" t="n"/>
      <c r="C51" s="25" t="n"/>
      <c r="D51" s="25" t="n"/>
      <c r="E51" s="25" t="n"/>
      <c r="F51" s="26" t="n"/>
      <c r="G51" s="25" t="n"/>
      <c r="H51" s="26" t="n"/>
      <c r="I51" s="26">
        <f>F51+H51</f>
        <v/>
      </c>
      <c r="J51" s="27" t="n"/>
      <c r="K51" s="25" t="n"/>
    </row>
    <row r="52">
      <c r="A52" s="28" t="n"/>
      <c r="B52" s="28" t="n"/>
      <c r="C52" s="28" t="n"/>
      <c r="D52" s="28" t="n"/>
      <c r="E52" s="28" t="n"/>
      <c r="F52" s="29" t="n"/>
      <c r="G52" s="28" t="n"/>
      <c r="H52" s="29" t="n"/>
      <c r="I52" s="29">
        <f>F52+H52</f>
        <v/>
      </c>
      <c r="J52" s="30" t="n"/>
      <c r="K52" s="28" t="n"/>
    </row>
    <row r="53">
      <c r="A53" s="25" t="n"/>
      <c r="B53" s="25" t="n"/>
      <c r="C53" s="25" t="n"/>
      <c r="D53" s="25" t="n"/>
      <c r="E53" s="25" t="n"/>
      <c r="F53" s="26" t="n"/>
      <c r="G53" s="25" t="n"/>
      <c r="H53" s="26" t="n"/>
      <c r="I53" s="26">
        <f>F53+H53</f>
        <v/>
      </c>
      <c r="J53" s="27" t="n"/>
      <c r="K53" s="25" t="n"/>
    </row>
    <row r="54">
      <c r="A54" s="28" t="n"/>
      <c r="B54" s="28" t="n"/>
      <c r="C54" s="28" t="n"/>
      <c r="D54" s="28" t="n"/>
      <c r="E54" s="28" t="n"/>
      <c r="F54" s="29" t="n"/>
      <c r="G54" s="28" t="n"/>
      <c r="H54" s="29" t="n"/>
      <c r="I54" s="29">
        <f>F54+H54</f>
        <v/>
      </c>
      <c r="J54" s="30" t="n"/>
      <c r="K54" s="28" t="n"/>
    </row>
    <row r="55">
      <c r="A55" s="25" t="n"/>
      <c r="B55" s="25" t="n"/>
      <c r="C55" s="25" t="n"/>
      <c r="D55" s="25" t="n"/>
      <c r="E55" s="25" t="n"/>
      <c r="F55" s="26" t="n"/>
      <c r="G55" s="25" t="n"/>
      <c r="H55" s="26" t="n"/>
      <c r="I55" s="26">
        <f>F55+H55</f>
        <v/>
      </c>
      <c r="J55" s="27" t="n"/>
      <c r="K55" s="25" t="n"/>
    </row>
    <row r="56">
      <c r="A56" s="28" t="n"/>
      <c r="B56" s="28" t="n"/>
      <c r="C56" s="28" t="n"/>
      <c r="D56" s="28" t="n"/>
      <c r="E56" s="28" t="n"/>
      <c r="F56" s="29" t="n"/>
      <c r="G56" s="28" t="n"/>
      <c r="H56" s="29" t="n"/>
      <c r="I56" s="29">
        <f>F56+H56</f>
        <v/>
      </c>
      <c r="J56" s="30" t="n"/>
      <c r="K56" s="28" t="n"/>
    </row>
    <row r="57">
      <c r="A57" s="25" t="n"/>
      <c r="B57" s="25" t="n"/>
      <c r="C57" s="25" t="n"/>
      <c r="D57" s="25" t="n"/>
      <c r="E57" s="25" t="n"/>
      <c r="F57" s="26" t="n"/>
      <c r="G57" s="25" t="n"/>
      <c r="H57" s="26" t="n"/>
      <c r="I57" s="26">
        <f>F57+H57</f>
        <v/>
      </c>
      <c r="J57" s="27" t="n"/>
      <c r="K57" s="25" t="n"/>
    </row>
    <row r="58">
      <c r="A58" s="28" t="n"/>
      <c r="B58" s="28" t="n"/>
      <c r="C58" s="28" t="n"/>
      <c r="D58" s="28" t="n"/>
      <c r="E58" s="28" t="n"/>
      <c r="F58" s="29" t="n"/>
      <c r="G58" s="28" t="n"/>
      <c r="H58" s="29" t="n"/>
      <c r="I58" s="29">
        <f>F58+H58</f>
        <v/>
      </c>
      <c r="J58" s="30" t="n"/>
      <c r="K58" s="28" t="n"/>
    </row>
    <row r="59">
      <c r="A59" s="25" t="n"/>
      <c r="B59" s="25" t="n"/>
      <c r="C59" s="25" t="n"/>
      <c r="D59" s="25" t="n"/>
      <c r="E59" s="25" t="n"/>
      <c r="F59" s="26" t="n"/>
      <c r="G59" s="25" t="n"/>
      <c r="H59" s="26" t="n"/>
      <c r="I59" s="26">
        <f>F59+H59</f>
        <v/>
      </c>
      <c r="J59" s="27" t="n"/>
      <c r="K59" s="25" t="n"/>
    </row>
    <row r="60">
      <c r="A60" s="28" t="n"/>
      <c r="B60" s="28" t="n"/>
      <c r="C60" s="28" t="n"/>
      <c r="D60" s="28" t="n"/>
      <c r="E60" s="28" t="n"/>
      <c r="F60" s="29" t="n"/>
      <c r="G60" s="28" t="n"/>
      <c r="H60" s="29" t="n"/>
      <c r="I60" s="29">
        <f>F60+H60</f>
        <v/>
      </c>
      <c r="J60" s="30" t="n"/>
      <c r="K60" s="28" t="n"/>
    </row>
    <row r="61">
      <c r="A61" s="25" t="n"/>
      <c r="B61" s="25" t="n"/>
      <c r="C61" s="25" t="n"/>
      <c r="D61" s="25" t="n"/>
      <c r="E61" s="25" t="n"/>
      <c r="F61" s="26" t="n"/>
      <c r="G61" s="25" t="n"/>
      <c r="H61" s="26" t="n"/>
      <c r="I61" s="26">
        <f>F61+H61</f>
        <v/>
      </c>
      <c r="J61" s="27" t="n"/>
      <c r="K61" s="25" t="n"/>
    </row>
    <row r="62">
      <c r="A62" s="28" t="n"/>
      <c r="B62" s="28" t="n"/>
      <c r="C62" s="28" t="n"/>
      <c r="D62" s="28" t="n"/>
      <c r="E62" s="28" t="n"/>
      <c r="F62" s="29" t="n"/>
      <c r="G62" s="28" t="n"/>
      <c r="H62" s="29" t="n"/>
      <c r="I62" s="29">
        <f>F62+H62</f>
        <v/>
      </c>
      <c r="J62" s="30" t="n"/>
      <c r="K62" s="28" t="n"/>
    </row>
    <row r="63">
      <c r="A63" s="25" t="n"/>
      <c r="B63" s="25" t="n"/>
      <c r="C63" s="25" t="n"/>
      <c r="D63" s="25" t="n"/>
      <c r="E63" s="25" t="n"/>
      <c r="F63" s="26" t="n"/>
      <c r="G63" s="25" t="n"/>
      <c r="H63" s="26" t="n"/>
      <c r="I63" s="26">
        <f>F63+H63</f>
        <v/>
      </c>
      <c r="J63" s="27" t="n"/>
      <c r="K63" s="25" t="n"/>
    </row>
    <row r="64">
      <c r="A64" s="28" t="n"/>
      <c r="B64" s="28" t="n"/>
      <c r="C64" s="28" t="n"/>
      <c r="D64" s="28" t="n"/>
      <c r="E64" s="28" t="n"/>
      <c r="F64" s="29" t="n"/>
      <c r="G64" s="28" t="n"/>
      <c r="H64" s="29" t="n"/>
      <c r="I64" s="29">
        <f>F64+H64</f>
        <v/>
      </c>
      <c r="J64" s="30" t="n"/>
      <c r="K64" s="28" t="n"/>
    </row>
    <row r="65">
      <c r="A65" s="25" t="n"/>
      <c r="B65" s="25" t="n"/>
      <c r="C65" s="25" t="n"/>
      <c r="D65" s="25" t="n"/>
      <c r="E65" s="25" t="n"/>
      <c r="F65" s="26" t="n"/>
      <c r="G65" s="25" t="n"/>
      <c r="H65" s="26" t="n"/>
      <c r="I65" s="26">
        <f>F65+H65</f>
        <v/>
      </c>
      <c r="J65" s="27" t="n"/>
      <c r="K65" s="25" t="n"/>
    </row>
    <row r="66">
      <c r="A66" s="28" t="n"/>
      <c r="B66" s="28" t="n"/>
      <c r="C66" s="28" t="n"/>
      <c r="D66" s="28" t="n"/>
      <c r="E66" s="28" t="n"/>
      <c r="F66" s="29" t="n"/>
      <c r="G66" s="28" t="n"/>
      <c r="H66" s="29" t="n"/>
      <c r="I66" s="29">
        <f>F66+H66</f>
        <v/>
      </c>
      <c r="J66" s="30" t="n"/>
      <c r="K66" s="28" t="n"/>
    </row>
    <row r="67">
      <c r="A67" s="25" t="n"/>
      <c r="B67" s="25" t="n"/>
      <c r="C67" s="25" t="n"/>
      <c r="D67" s="25" t="n"/>
      <c r="E67" s="25" t="n"/>
      <c r="F67" s="26" t="n"/>
      <c r="G67" s="25" t="n"/>
      <c r="H67" s="26" t="n"/>
      <c r="I67" s="26">
        <f>F67+H67</f>
        <v/>
      </c>
      <c r="J67" s="27" t="n"/>
      <c r="K67" s="25" t="n"/>
    </row>
    <row r="68">
      <c r="A68" s="28" t="n"/>
      <c r="B68" s="28" t="n"/>
      <c r="C68" s="28" t="n"/>
      <c r="D68" s="28" t="n"/>
      <c r="E68" s="28" t="n"/>
      <c r="F68" s="29" t="n"/>
      <c r="G68" s="28" t="n"/>
      <c r="H68" s="29" t="n"/>
      <c r="I68" s="29">
        <f>F68+H68</f>
        <v/>
      </c>
      <c r="J68" s="30" t="n"/>
      <c r="K68" s="28" t="n"/>
    </row>
    <row r="69">
      <c r="A69" s="25" t="n"/>
      <c r="B69" s="25" t="n"/>
      <c r="C69" s="25" t="n"/>
      <c r="D69" s="25" t="n"/>
      <c r="E69" s="25" t="n"/>
      <c r="F69" s="26" t="n"/>
      <c r="G69" s="25" t="n"/>
      <c r="H69" s="26" t="n"/>
      <c r="I69" s="26">
        <f>F69+H69</f>
        <v/>
      </c>
      <c r="J69" s="27" t="n"/>
      <c r="K69" s="25" t="n"/>
    </row>
    <row r="70">
      <c r="A70" s="28" t="n"/>
      <c r="B70" s="28" t="n"/>
      <c r="C70" s="28" t="n"/>
      <c r="D70" s="28" t="n"/>
      <c r="E70" s="28" t="n"/>
      <c r="F70" s="29" t="n"/>
      <c r="G70" s="28" t="n"/>
      <c r="H70" s="29" t="n"/>
      <c r="I70" s="29">
        <f>F70+H70</f>
        <v/>
      </c>
      <c r="J70" s="30" t="n"/>
      <c r="K70" s="28" t="n"/>
    </row>
    <row r="71">
      <c r="A71" s="25" t="n"/>
      <c r="B71" s="25" t="n"/>
      <c r="C71" s="25" t="n"/>
      <c r="D71" s="25" t="n"/>
      <c r="E71" s="25" t="n"/>
      <c r="F71" s="26" t="n"/>
      <c r="G71" s="25" t="n"/>
      <c r="H71" s="26" t="n"/>
      <c r="I71" s="26">
        <f>F71+H71</f>
        <v/>
      </c>
      <c r="J71" s="27" t="n"/>
      <c r="K71" s="25" t="n"/>
    </row>
    <row r="72">
      <c r="A72" s="28" t="n"/>
      <c r="B72" s="28" t="n"/>
      <c r="C72" s="28" t="n"/>
      <c r="D72" s="28" t="n"/>
      <c r="E72" s="28" t="n"/>
      <c r="F72" s="29" t="n"/>
      <c r="G72" s="28" t="n"/>
      <c r="H72" s="29" t="n"/>
      <c r="I72" s="29">
        <f>F72+H72</f>
        <v/>
      </c>
      <c r="J72" s="30" t="n"/>
      <c r="K72" s="28" t="n"/>
    </row>
    <row r="73">
      <c r="A73" s="25" t="n"/>
      <c r="B73" s="25" t="n"/>
      <c r="C73" s="25" t="n"/>
      <c r="D73" s="25" t="n"/>
      <c r="E73" s="25" t="n"/>
      <c r="F73" s="26" t="n"/>
      <c r="G73" s="25" t="n"/>
      <c r="H73" s="26" t="n"/>
      <c r="I73" s="26">
        <f>F73+H73</f>
        <v/>
      </c>
      <c r="J73" s="27" t="n"/>
      <c r="K73" s="25" t="n"/>
    </row>
    <row r="74">
      <c r="A74" s="28" t="n"/>
      <c r="B74" s="28" t="n"/>
      <c r="C74" s="28" t="n"/>
      <c r="D74" s="28" t="n"/>
      <c r="E74" s="28" t="n"/>
      <c r="F74" s="29" t="n"/>
      <c r="G74" s="28" t="n"/>
      <c r="H74" s="29" t="n"/>
      <c r="I74" s="29">
        <f>F74+H74</f>
        <v/>
      </c>
      <c r="J74" s="30" t="n"/>
      <c r="K74" s="28" t="n"/>
    </row>
    <row r="75">
      <c r="A75" s="25" t="n"/>
      <c r="B75" s="25" t="n"/>
      <c r="C75" s="25" t="n"/>
      <c r="D75" s="25" t="n"/>
      <c r="E75" s="25" t="n"/>
      <c r="F75" s="26" t="n"/>
      <c r="G75" s="25" t="n"/>
      <c r="H75" s="26" t="n"/>
      <c r="I75" s="26">
        <f>F75+H75</f>
        <v/>
      </c>
      <c r="J75" s="27" t="n"/>
      <c r="K75" s="25" t="n"/>
    </row>
    <row r="76">
      <c r="A76" s="28" t="n"/>
      <c r="B76" s="28" t="n"/>
      <c r="C76" s="28" t="n"/>
      <c r="D76" s="28" t="n"/>
      <c r="E76" s="28" t="n"/>
      <c r="F76" s="29" t="n"/>
      <c r="G76" s="28" t="n"/>
      <c r="H76" s="29" t="n"/>
      <c r="I76" s="29">
        <f>F76+H76</f>
        <v/>
      </c>
      <c r="J76" s="30" t="n"/>
      <c r="K76" s="28" t="n"/>
    </row>
    <row r="77">
      <c r="A77" s="25" t="n"/>
      <c r="B77" s="25" t="n"/>
      <c r="C77" s="25" t="n"/>
      <c r="D77" s="25" t="n"/>
      <c r="E77" s="25" t="n"/>
      <c r="F77" s="26" t="n"/>
      <c r="G77" s="25" t="n"/>
      <c r="H77" s="26" t="n"/>
      <c r="I77" s="26">
        <f>F77+H77</f>
        <v/>
      </c>
      <c r="J77" s="27" t="n"/>
      <c r="K77" s="25" t="n"/>
    </row>
    <row r="78">
      <c r="A78" s="28" t="n"/>
      <c r="B78" s="28" t="n"/>
      <c r="C78" s="28" t="n"/>
      <c r="D78" s="28" t="n"/>
      <c r="E78" s="28" t="n"/>
      <c r="F78" s="29" t="n"/>
      <c r="G78" s="28" t="n"/>
      <c r="H78" s="29" t="n"/>
      <c r="I78" s="29">
        <f>F78+H78</f>
        <v/>
      </c>
      <c r="J78" s="30" t="n"/>
      <c r="K78" s="28" t="n"/>
    </row>
    <row r="79">
      <c r="A79" s="25" t="n"/>
      <c r="B79" s="25" t="n"/>
      <c r="C79" s="25" t="n"/>
      <c r="D79" s="25" t="n"/>
      <c r="E79" s="25" t="n"/>
      <c r="F79" s="26" t="n"/>
      <c r="G79" s="25" t="n"/>
      <c r="H79" s="26" t="n"/>
      <c r="I79" s="26">
        <f>F79+H79</f>
        <v/>
      </c>
      <c r="J79" s="27" t="n"/>
      <c r="K79" s="25" t="n"/>
    </row>
    <row r="80">
      <c r="A80" s="28" t="n"/>
      <c r="B80" s="28" t="n"/>
      <c r="C80" s="28" t="n"/>
      <c r="D80" s="28" t="n"/>
      <c r="E80" s="28" t="n"/>
      <c r="F80" s="29" t="n"/>
      <c r="G80" s="28" t="n"/>
      <c r="H80" s="29" t="n"/>
      <c r="I80" s="29">
        <f>F80+H80</f>
        <v/>
      </c>
      <c r="J80" s="30" t="n"/>
      <c r="K80" s="28" t="n"/>
    </row>
    <row r="81">
      <c r="A81" s="25" t="n"/>
      <c r="B81" s="25" t="n"/>
      <c r="C81" s="25" t="n"/>
      <c r="D81" s="25" t="n"/>
      <c r="E81" s="25" t="n"/>
      <c r="F81" s="26" t="n"/>
      <c r="G81" s="25" t="n"/>
      <c r="H81" s="26" t="n"/>
      <c r="I81" s="26">
        <f>F81+H81</f>
        <v/>
      </c>
      <c r="J81" s="27" t="n"/>
      <c r="K81" s="25" t="n"/>
    </row>
    <row r="82">
      <c r="A82" s="28" t="n"/>
      <c r="B82" s="28" t="n"/>
      <c r="C82" s="28" t="n"/>
      <c r="D82" s="28" t="n"/>
      <c r="E82" s="28" t="n"/>
      <c r="F82" s="29" t="n"/>
      <c r="G82" s="28" t="n"/>
      <c r="H82" s="29" t="n"/>
      <c r="I82" s="29">
        <f>F82+H82</f>
        <v/>
      </c>
      <c r="J82" s="30" t="n"/>
      <c r="K82" s="28" t="n"/>
    </row>
    <row r="83">
      <c r="A83" s="25" t="n"/>
      <c r="B83" s="25" t="n"/>
      <c r="C83" s="25" t="n"/>
      <c r="D83" s="25" t="n"/>
      <c r="E83" s="25" t="n"/>
      <c r="F83" s="26" t="n"/>
      <c r="G83" s="25" t="n"/>
      <c r="H83" s="26" t="n"/>
      <c r="I83" s="26">
        <f>F83+H83</f>
        <v/>
      </c>
      <c r="J83" s="27" t="n"/>
      <c r="K83" s="25" t="n"/>
    </row>
    <row r="84">
      <c r="A84" s="28" t="n"/>
      <c r="B84" s="28" t="n"/>
      <c r="C84" s="28" t="n"/>
      <c r="D84" s="28" t="n"/>
      <c r="E84" s="28" t="n"/>
      <c r="F84" s="29" t="n"/>
      <c r="G84" s="28" t="n"/>
      <c r="H84" s="29" t="n"/>
      <c r="I84" s="29">
        <f>F84+H84</f>
        <v/>
      </c>
      <c r="J84" s="30" t="n"/>
      <c r="K84" s="28" t="n"/>
    </row>
    <row r="85">
      <c r="A85" s="25" t="n"/>
      <c r="B85" s="25" t="n"/>
      <c r="C85" s="25" t="n"/>
      <c r="D85" s="25" t="n"/>
      <c r="E85" s="25" t="n"/>
      <c r="F85" s="26" t="n"/>
      <c r="G85" s="25" t="n"/>
      <c r="H85" s="26" t="n"/>
      <c r="I85" s="26">
        <f>F85+H85</f>
        <v/>
      </c>
      <c r="J85" s="27" t="n"/>
      <c r="K85" s="25" t="n"/>
    </row>
    <row r="86">
      <c r="A86" s="28" t="n"/>
      <c r="B86" s="28" t="n"/>
      <c r="C86" s="28" t="n"/>
      <c r="D86" s="28" t="n"/>
      <c r="E86" s="28" t="n"/>
      <c r="F86" s="29" t="n"/>
      <c r="G86" s="28" t="n"/>
      <c r="H86" s="29" t="n"/>
      <c r="I86" s="29">
        <f>F86+H86</f>
        <v/>
      </c>
      <c r="J86" s="30" t="n"/>
      <c r="K86" s="28" t="n"/>
    </row>
    <row r="87">
      <c r="A87" s="25" t="n"/>
      <c r="B87" s="25" t="n"/>
      <c r="C87" s="25" t="n"/>
      <c r="D87" s="25" t="n"/>
      <c r="E87" s="25" t="n"/>
      <c r="F87" s="26" t="n"/>
      <c r="G87" s="25" t="n"/>
      <c r="H87" s="26" t="n"/>
      <c r="I87" s="26">
        <f>F87+H87</f>
        <v/>
      </c>
      <c r="J87" s="27" t="n"/>
      <c r="K87" s="25" t="n"/>
    </row>
    <row r="88">
      <c r="A88" s="28" t="n"/>
      <c r="B88" s="28" t="n"/>
      <c r="C88" s="28" t="n"/>
      <c r="D88" s="28" t="n"/>
      <c r="E88" s="28" t="n"/>
      <c r="F88" s="29" t="n"/>
      <c r="G88" s="28" t="n"/>
      <c r="H88" s="29" t="n"/>
      <c r="I88" s="29">
        <f>F88+H88</f>
        <v/>
      </c>
      <c r="J88" s="30" t="n"/>
      <c r="K88" s="28" t="n"/>
    </row>
    <row r="89">
      <c r="A89" s="25" t="n"/>
      <c r="B89" s="25" t="n"/>
      <c r="C89" s="25" t="n"/>
      <c r="D89" s="25" t="n"/>
      <c r="E89" s="25" t="n"/>
      <c r="F89" s="26" t="n"/>
      <c r="G89" s="25" t="n"/>
      <c r="H89" s="26" t="n"/>
      <c r="I89" s="26">
        <f>F89+H89</f>
        <v/>
      </c>
      <c r="J89" s="27" t="n"/>
      <c r="K89" s="25" t="n"/>
    </row>
    <row r="90">
      <c r="A90" s="28" t="n"/>
      <c r="B90" s="28" t="n"/>
      <c r="C90" s="28" t="n"/>
      <c r="D90" s="28" t="n"/>
      <c r="E90" s="28" t="n"/>
      <c r="F90" s="29" t="n"/>
      <c r="G90" s="28" t="n"/>
      <c r="H90" s="29" t="n"/>
      <c r="I90" s="29">
        <f>F90+H90</f>
        <v/>
      </c>
      <c r="J90" s="30" t="n"/>
      <c r="K90" s="28" t="n"/>
    </row>
    <row r="91">
      <c r="A91" s="25" t="n"/>
      <c r="B91" s="25" t="n"/>
      <c r="C91" s="25" t="n"/>
      <c r="D91" s="25" t="n"/>
      <c r="E91" s="25" t="n"/>
      <c r="F91" s="26" t="n"/>
      <c r="G91" s="25" t="n"/>
      <c r="H91" s="26" t="n"/>
      <c r="I91" s="26">
        <f>F91+H91</f>
        <v/>
      </c>
      <c r="J91" s="27" t="n"/>
      <c r="K91" s="25" t="n"/>
    </row>
    <row r="92">
      <c r="A92" s="28" t="n"/>
      <c r="B92" s="28" t="n"/>
      <c r="C92" s="28" t="n"/>
      <c r="D92" s="28" t="n"/>
      <c r="E92" s="28" t="n"/>
      <c r="F92" s="29" t="n"/>
      <c r="G92" s="28" t="n"/>
      <c r="H92" s="29" t="n"/>
      <c r="I92" s="29">
        <f>F92+H92</f>
        <v/>
      </c>
      <c r="J92" s="30" t="n"/>
      <c r="K92" s="28" t="n"/>
    </row>
    <row r="93">
      <c r="A93" s="25" t="n"/>
      <c r="B93" s="25" t="n"/>
      <c r="C93" s="25" t="n"/>
      <c r="D93" s="25" t="n"/>
      <c r="E93" s="25" t="n"/>
      <c r="F93" s="26" t="n"/>
      <c r="G93" s="25" t="n"/>
      <c r="H93" s="26" t="n"/>
      <c r="I93" s="26">
        <f>F93+H93</f>
        <v/>
      </c>
      <c r="J93" s="27" t="n"/>
      <c r="K93" s="25" t="n"/>
    </row>
    <row r="94">
      <c r="A94" s="28" t="n"/>
      <c r="B94" s="28" t="n"/>
      <c r="C94" s="28" t="n"/>
      <c r="D94" s="28" t="n"/>
      <c r="E94" s="28" t="n"/>
      <c r="F94" s="29" t="n"/>
      <c r="G94" s="28" t="n"/>
      <c r="H94" s="29" t="n"/>
      <c r="I94" s="29">
        <f>F94+H94</f>
        <v/>
      </c>
      <c r="J94" s="30" t="n"/>
      <c r="K94" s="28" t="n"/>
    </row>
    <row r="95">
      <c r="A95" s="25" t="n"/>
      <c r="B95" s="25" t="n"/>
      <c r="C95" s="25" t="n"/>
      <c r="D95" s="25" t="n"/>
      <c r="E95" s="25" t="n"/>
      <c r="F95" s="26" t="n"/>
      <c r="G95" s="25" t="n"/>
      <c r="H95" s="26" t="n"/>
      <c r="I95" s="26">
        <f>F95+H95</f>
        <v/>
      </c>
      <c r="J95" s="27" t="n"/>
      <c r="K95" s="25" t="n"/>
    </row>
    <row r="96">
      <c r="A96" s="28" t="n"/>
      <c r="B96" s="28" t="n"/>
      <c r="C96" s="28" t="n"/>
      <c r="D96" s="28" t="n"/>
      <c r="E96" s="28" t="n"/>
      <c r="F96" s="29" t="n"/>
      <c r="G96" s="28" t="n"/>
      <c r="H96" s="29" t="n"/>
      <c r="I96" s="29">
        <f>F96+H96</f>
        <v/>
      </c>
      <c r="J96" s="30" t="n"/>
      <c r="K96" s="28" t="n"/>
    </row>
    <row r="97">
      <c r="A97" s="25" t="n"/>
      <c r="B97" s="25" t="n"/>
      <c r="C97" s="25" t="n"/>
      <c r="D97" s="25" t="n"/>
      <c r="E97" s="25" t="n"/>
      <c r="F97" s="26" t="n"/>
      <c r="G97" s="25" t="n"/>
      <c r="H97" s="26" t="n"/>
      <c r="I97" s="26">
        <f>F97+H97</f>
        <v/>
      </c>
      <c r="J97" s="27" t="n"/>
      <c r="K97" s="25" t="n"/>
    </row>
    <row r="98">
      <c r="A98" s="28" t="n"/>
      <c r="B98" s="28" t="n"/>
      <c r="C98" s="28" t="n"/>
      <c r="D98" s="28" t="n"/>
      <c r="E98" s="28" t="n"/>
      <c r="F98" s="29" t="n"/>
      <c r="G98" s="28" t="n"/>
      <c r="H98" s="29" t="n"/>
      <c r="I98" s="29">
        <f>F98+H98</f>
        <v/>
      </c>
      <c r="J98" s="30" t="n"/>
      <c r="K98" s="28" t="n"/>
    </row>
    <row r="99">
      <c r="A99" s="25" t="n"/>
      <c r="B99" s="25" t="n"/>
      <c r="C99" s="25" t="n"/>
      <c r="D99" s="25" t="n"/>
      <c r="E99" s="25" t="n"/>
      <c r="F99" s="26" t="n"/>
      <c r="G99" s="25" t="n"/>
      <c r="H99" s="26" t="n"/>
      <c r="I99" s="26">
        <f>F99+H99</f>
        <v/>
      </c>
      <c r="J99" s="27" t="n"/>
      <c r="K99" s="25" t="n"/>
    </row>
    <row r="100">
      <c r="A100" s="28" t="n"/>
      <c r="B100" s="28" t="n"/>
      <c r="C100" s="28" t="n"/>
      <c r="D100" s="28" t="n"/>
      <c r="E100" s="28" t="n"/>
      <c r="F100" s="29" t="n"/>
      <c r="G100" s="28" t="n"/>
      <c r="H100" s="29" t="n"/>
      <c r="I100" s="29">
        <f>F100+H100</f>
        <v/>
      </c>
      <c r="J100" s="30" t="n"/>
      <c r="K100" s="28" t="n"/>
    </row>
    <row r="101">
      <c r="A101" s="25" t="n"/>
      <c r="B101" s="25" t="n"/>
      <c r="C101" s="25" t="n"/>
      <c r="D101" s="25" t="n"/>
      <c r="E101" s="25" t="n"/>
      <c r="F101" s="26" t="n"/>
      <c r="G101" s="25" t="n"/>
      <c r="H101" s="26" t="n"/>
      <c r="I101" s="26">
        <f>F101+H101</f>
        <v/>
      </c>
      <c r="J101" s="27" t="n"/>
      <c r="K101" s="25" t="n"/>
    </row>
    <row r="102">
      <c r="A102" s="28" t="n"/>
      <c r="B102" s="28" t="n"/>
      <c r="C102" s="28" t="n"/>
      <c r="D102" s="28" t="n"/>
      <c r="E102" s="28" t="n"/>
      <c r="F102" s="29" t="n"/>
      <c r="G102" s="28" t="n"/>
      <c r="H102" s="29" t="n"/>
      <c r="I102" s="29">
        <f>F102+H102</f>
        <v/>
      </c>
      <c r="J102" s="30" t="n"/>
      <c r="K102" s="28" t="n"/>
    </row>
    <row r="103">
      <c r="A103" s="25" t="n"/>
      <c r="B103" s="25" t="n"/>
      <c r="C103" s="25" t="n"/>
      <c r="D103" s="25" t="n"/>
      <c r="E103" s="25" t="n"/>
      <c r="F103" s="26" t="n"/>
      <c r="G103" s="25" t="n"/>
      <c r="H103" s="26" t="n"/>
      <c r="I103" s="26">
        <f>F103+H103</f>
        <v/>
      </c>
      <c r="J103" s="27" t="n"/>
      <c r="K103" s="25" t="n"/>
    </row>
  </sheetData>
  <mergeCells count="2">
    <mergeCell ref="A2:K2"/>
    <mergeCell ref="A1:K1"/>
  </mergeCells>
  <conditionalFormatting sqref="E4:E103">
    <cfRule type="cellIs" priority="1" operator="equal" dxfId="0">
      <formula>"Lead"</formula>
    </cfRule>
    <cfRule type="cellIs" priority="2" operator="equal" dxfId="1">
      <formula>"Pitched"</formula>
    </cfRule>
    <cfRule type="cellIs" priority="3" operator="equal" dxfId="2">
      <formula>"Negotiating"</formula>
    </cfRule>
    <cfRule type="cellIs" priority="4" operator="equal" dxfId="3">
      <formula>"Contract Sent"</formula>
    </cfRule>
    <cfRule type="cellIs" priority="5" operator="equal" dxfId="4">
      <formula>"Closed-Won"</formula>
    </cfRule>
    <cfRule type="cellIs" priority="6" operator="equal" dxfId="5">
      <formula>"Closed-Lost"</formula>
    </cfRule>
  </conditionalFormatting>
  <dataValidations count="3">
    <dataValidation sqref="D4:D103" showDropDown="0" showInputMessage="0" showErrorMessage="0" allowBlank="1" type="list">
      <formula1>"Video,Photo,Video+Photo Bundle,UGC Ad Script,Whitelisted Content"</formula1>
    </dataValidation>
    <dataValidation sqref="E4:E103" showDropDown="0" showInputMessage="0" showErrorMessage="0" allowBlank="1" type="list">
      <formula1>"Lead,Pitched,Negotiating,Contract Sent,Closed-Won,Closed-Lost"</formula1>
    </dataValidation>
    <dataValidation sqref="G4:G103" showDropDown="0" showInputMessage="0" showErrorMessage="0" allowBlank="1" type="list">
      <formula1>"Organic Only,Whitelisted 30 Days,Whitelisted 90 Days,Paid Ads/Whitelisted 6mo,Full Buyout"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0" customWidth="1" min="4" max="4"/>
  </cols>
  <sheetData>
    <row r="1" ht="30" customHeight="1">
      <c r="A1" s="19" t="inlineStr">
        <is>
          <t>RATE CALCULATOR</t>
        </is>
      </c>
      <c r="B1" s="1" t="n"/>
      <c r="C1" s="1" t="n"/>
      <c r="D1" s="1" t="n"/>
    </row>
    <row r="2" ht="18" customHeight="1">
      <c r="A2" s="20" t="inlineStr">
        <is>
          <t>Use this BEFORE you quote a brand. Never price off the top of your head.</t>
        </is>
      </c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13" t="inlineStr">
        <is>
          <t>STEP 1 — Your base hourly-equivalent rate</t>
        </is>
      </c>
      <c r="B4" s="1" t="n"/>
      <c r="C4" s="1" t="n"/>
      <c r="D4" s="1" t="n"/>
    </row>
    <row r="5">
      <c r="A5" s="31" t="inlineStr">
        <is>
          <t>Base rate ($/hour)</t>
        </is>
      </c>
      <c r="B5" s="32" t="n">
        <v>50</v>
      </c>
      <c r="C5" s="1" t="n"/>
      <c r="D5" s="33" t="inlineStr">
        <is>
          <t>← edit this. Blue cells are yours to change.</t>
        </is>
      </c>
    </row>
    <row r="6">
      <c r="A6" s="1" t="n"/>
      <c r="B6" s="1" t="n"/>
      <c r="C6" s="1" t="n"/>
      <c r="D6" s="1" t="n"/>
    </row>
    <row r="7">
      <c r="A7" s="13" t="inlineStr">
        <is>
          <t>STEP 2 — Estimated hours per deliverable (edit to match your speed)</t>
        </is>
      </c>
      <c r="B7" s="1" t="n"/>
      <c r="C7" s="1" t="n"/>
      <c r="D7" s="1" t="n"/>
    </row>
    <row r="8" ht="30" customHeight="1">
      <c r="A8" s="21" t="inlineStr">
        <is>
          <t>Deliverable Type</t>
        </is>
      </c>
      <c r="B8" s="21" t="inlineStr">
        <is>
          <t>Est. Hours</t>
        </is>
      </c>
      <c r="C8" s="21" t="inlineStr"/>
      <c r="D8" s="21" t="inlineStr"/>
    </row>
    <row r="9">
      <c r="A9" s="34" t="inlineStr">
        <is>
          <t>Video</t>
        </is>
      </c>
      <c r="B9" s="35" t="n">
        <v>3</v>
      </c>
      <c r="C9" s="1" t="n"/>
      <c r="D9" s="1" t="n"/>
    </row>
    <row r="10">
      <c r="A10" s="34" t="inlineStr">
        <is>
          <t>Photo</t>
        </is>
      </c>
      <c r="B10" s="35" t="n">
        <v>1</v>
      </c>
      <c r="C10" s="1" t="n"/>
      <c r="D10" s="1" t="n"/>
    </row>
    <row r="11">
      <c r="A11" s="34" t="inlineStr">
        <is>
          <t>Video+Photo Bundle</t>
        </is>
      </c>
      <c r="B11" s="35" t="n">
        <v>4</v>
      </c>
      <c r="C11" s="1" t="n"/>
      <c r="D11" s="1" t="n"/>
    </row>
    <row r="12">
      <c r="A12" s="34" t="inlineStr">
        <is>
          <t>UGC Ad Script</t>
        </is>
      </c>
      <c r="B12" s="35" t="n">
        <v>2</v>
      </c>
      <c r="C12" s="1" t="n"/>
      <c r="D12" s="1" t="n"/>
    </row>
    <row r="13">
      <c r="A13" s="34" t="inlineStr">
        <is>
          <t>Whitelisted Content</t>
        </is>
      </c>
      <c r="B13" s="35" t="n">
        <v>3</v>
      </c>
      <c r="C13" s="1" t="n"/>
      <c r="D13" s="1" t="n"/>
    </row>
    <row r="14">
      <c r="A14" s="1" t="n"/>
      <c r="B14" s="1" t="n"/>
      <c r="C14" s="1" t="n"/>
      <c r="D14" s="1" t="n"/>
    </row>
    <row r="15">
      <c r="A15" s="13" t="inlineStr">
        <is>
          <t>STEP 3 — Usage rights multiplier (edit if your market is different)</t>
        </is>
      </c>
      <c r="B15" s="1" t="n"/>
      <c r="C15" s="1" t="n"/>
      <c r="D15" s="1" t="n"/>
    </row>
    <row r="16" ht="30" customHeight="1">
      <c r="A16" s="21" t="inlineStr">
        <is>
          <t>Usage Rights</t>
        </is>
      </c>
      <c r="B16" s="21" t="inlineStr">
        <is>
          <t>Multiplier</t>
        </is>
      </c>
      <c r="C16" s="21" t="inlineStr"/>
      <c r="D16" s="21" t="inlineStr"/>
    </row>
    <row r="17">
      <c r="A17" s="34" t="inlineStr">
        <is>
          <t>Organic Only</t>
        </is>
      </c>
      <c r="B17" s="36" t="n">
        <v>1</v>
      </c>
      <c r="C17" s="1" t="n"/>
      <c r="D17" s="1" t="n"/>
    </row>
    <row r="18">
      <c r="A18" s="34" t="inlineStr">
        <is>
          <t>Whitelisted 30 Days</t>
        </is>
      </c>
      <c r="B18" s="36" t="n">
        <v>1.25</v>
      </c>
      <c r="C18" s="1" t="n"/>
      <c r="D18" s="1" t="n"/>
    </row>
    <row r="19">
      <c r="A19" s="34" t="inlineStr">
        <is>
          <t>Whitelisted 90 Days</t>
        </is>
      </c>
      <c r="B19" s="36" t="n">
        <v>1.5</v>
      </c>
      <c r="C19" s="1" t="n"/>
      <c r="D19" s="1" t="n"/>
    </row>
    <row r="20">
      <c r="A20" s="34" t="inlineStr">
        <is>
          <t>Paid Ads/Whitelisted 6mo</t>
        </is>
      </c>
      <c r="B20" s="36" t="n">
        <v>2</v>
      </c>
      <c r="C20" s="1" t="n"/>
      <c r="D20" s="1" t="n"/>
    </row>
    <row r="21">
      <c r="A21" s="34" t="inlineStr">
        <is>
          <t>Full Buyout</t>
        </is>
      </c>
      <c r="B21" s="36" t="n">
        <v>3</v>
      </c>
      <c r="C21" s="1" t="n"/>
      <c r="D21" s="1" t="n"/>
    </row>
    <row r="22">
      <c r="A22" s="1" t="n"/>
      <c r="B22" s="1" t="n"/>
      <c r="C22" s="1" t="n"/>
      <c r="D22" s="1" t="n"/>
    </row>
    <row r="23" ht="24" customHeight="1">
      <c r="A23" s="37" t="inlineStr">
        <is>
          <t>CALCULATE YOUR RATE</t>
        </is>
      </c>
      <c r="B23" s="1" t="n"/>
      <c r="C23" s="1" t="n"/>
      <c r="D23" s="1" t="n"/>
    </row>
    <row r="24">
      <c r="A24" s="38" t="inlineStr">
        <is>
          <t>Deliverable Type</t>
        </is>
      </c>
      <c r="B24" s="39" t="inlineStr">
        <is>
          <t>Video</t>
        </is>
      </c>
      <c r="C24" s="1" t="n"/>
      <c r="D24" s="1" t="n"/>
    </row>
    <row r="25">
      <c r="A25" s="38" t="inlineStr">
        <is>
          <t>Usage Rights</t>
        </is>
      </c>
      <c r="B25" s="39" t="inlineStr">
        <is>
          <t>Organic Only</t>
        </is>
      </c>
      <c r="C25" s="1" t="n"/>
      <c r="D25" s="1" t="n"/>
    </row>
    <row r="26">
      <c r="A26" s="1" t="n"/>
      <c r="B26" s="1" t="n"/>
      <c r="C26" s="1" t="n"/>
      <c r="D26" s="1" t="n"/>
    </row>
    <row r="27">
      <c r="A27" s="14" t="inlineStr">
        <is>
          <t>Matched hours (from Step 2)</t>
        </is>
      </c>
      <c r="B27" s="40">
        <f>INDEX($B$9:$B$13,MATCH($B$24,$A$9:$A$13,0))</f>
        <v/>
      </c>
      <c r="C27" s="1" t="n"/>
      <c r="D27" s="1" t="n"/>
    </row>
    <row r="28">
      <c r="A28" s="14" t="inlineStr">
        <is>
          <t>Base deliverable price (rate x hours)</t>
        </is>
      </c>
      <c r="B28" s="41">
        <f>$B$5*$B$27</f>
        <v/>
      </c>
      <c r="C28" s="1" t="n"/>
      <c r="D28" s="33">
        <f> Base Rate x Hours</f>
        <v/>
      </c>
    </row>
    <row r="29">
      <c r="A29" s="14" t="inlineStr">
        <is>
          <t>Matched multiplier (from Step 3)</t>
        </is>
      </c>
      <c r="B29" s="40">
        <f>INDEX($B$17:$B$21,MATCH($B$25,$A$17:$A$21,0))</f>
        <v/>
      </c>
      <c r="C29" s="1" t="n"/>
      <c r="D29" s="1" t="n"/>
    </row>
    <row r="30">
      <c r="A30" s="42" t="inlineStr">
        <is>
          <t>SUGGESTED RATE</t>
        </is>
      </c>
      <c r="B30" s="43">
        <f>ROUND($B$28*$B$29,0)</f>
        <v/>
      </c>
      <c r="C30" s="1" t="n"/>
      <c r="D30" s="33">
        <f> Base Deliverable Price x Multiplier. This is your floor, not your ceiling — negotiate up.</f>
        <v/>
      </c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</sheetData>
  <mergeCells count="7">
    <mergeCell ref="A1:D1"/>
    <mergeCell ref="A23:D23"/>
    <mergeCell ref="B30:C30"/>
    <mergeCell ref="A4:D4"/>
    <mergeCell ref="A15:D15"/>
    <mergeCell ref="A7:D7"/>
    <mergeCell ref="A2:D2"/>
  </mergeCells>
  <dataValidations count="2">
    <dataValidation sqref="B24" showDropDown="0" showInputMessage="0" showErrorMessage="0" allowBlank="1" type="list">
      <formula1>"Video,Photo,Video+Photo Bundle,UGC Ad Script,Whitelisted Content"</formula1>
    </dataValidation>
    <dataValidation sqref="B25" showDropDown="0" showInputMessage="0" showErrorMessage="0" allowBlank="1" type="list">
      <formula1>"Organic Only,Whitelisted 30 Days,Whitelisted 90 Days,Paid Ads/Whitelisted 6mo,Full Buyout"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19" t="inlineStr">
        <is>
          <t>INVOICES</t>
        </is>
      </c>
    </row>
    <row r="2" ht="18" customHeight="1">
      <c r="A2" s="20" t="inlineStr">
        <is>
          <t>Every closed deal gets a row here — this is what powers the Dashboard revenue numbers.</t>
        </is>
      </c>
    </row>
    <row r="3" ht="30" customHeight="1">
      <c r="A3" s="21" t="inlineStr">
        <is>
          <t>Invoice #</t>
        </is>
      </c>
      <c r="B3" s="21" t="inlineStr">
        <is>
          <t>Brand Name</t>
        </is>
      </c>
      <c r="C3" s="21" t="inlineStr">
        <is>
          <t>Date Issued</t>
        </is>
      </c>
      <c r="D3" s="21" t="inlineStr">
        <is>
          <t>Due Date</t>
        </is>
      </c>
      <c r="E3" s="21" t="inlineStr">
        <is>
          <t>Amount</t>
        </is>
      </c>
      <c r="F3" s="21" t="inlineStr">
        <is>
          <t>Status</t>
        </is>
      </c>
      <c r="G3" s="21" t="inlineStr">
        <is>
          <t>Auto-Flag</t>
        </is>
      </c>
      <c r="H3" s="21" t="inlineStr">
        <is>
          <t>Payment Method</t>
        </is>
      </c>
      <c r="I3" s="21" t="inlineStr">
        <is>
          <t>Date Paid</t>
        </is>
      </c>
    </row>
    <row r="4">
      <c r="A4" s="22" t="inlineStr">
        <is>
          <t>INV-0001</t>
        </is>
      </c>
      <c r="B4" s="22" t="inlineStr">
        <is>
          <t>Glow Skincare Co.</t>
        </is>
      </c>
      <c r="C4" s="24" t="inlineStr">
        <is>
          <t>2026-08-01</t>
        </is>
      </c>
      <c r="D4" s="24" t="inlineStr">
        <is>
          <t>2026-08-15</t>
        </is>
      </c>
      <c r="E4" s="23" t="n">
        <v>312.5</v>
      </c>
      <c r="F4" s="22" t="inlineStr">
        <is>
          <t>Paid</t>
        </is>
      </c>
      <c r="G4" s="44">
        <f>IF(AND(F4&lt;&gt;"Paid",F4&lt;&gt;"",TODAY()&gt;D4),"⚠ PAST DUE","")</f>
        <v/>
      </c>
      <c r="H4" s="22" t="inlineStr">
        <is>
          <t>PayPal</t>
        </is>
      </c>
      <c r="I4" s="24" t="inlineStr">
        <is>
          <t>2026-08-10</t>
        </is>
      </c>
    </row>
    <row r="5">
      <c r="A5" s="25" t="n"/>
      <c r="B5" s="25" t="n"/>
      <c r="C5" s="27" t="n"/>
      <c r="D5" s="27" t="n"/>
      <c r="E5" s="26" t="n"/>
      <c r="F5" s="25" t="n"/>
      <c r="G5" s="45">
        <f>IF(AND(F5&lt;&gt;"Paid",F5&lt;&gt;"",TODAY()&gt;D5),"⚠ PAST DUE","")</f>
        <v/>
      </c>
      <c r="H5" s="25" t="n"/>
      <c r="I5" s="27" t="n"/>
    </row>
    <row r="6">
      <c r="A6" s="28" t="n"/>
      <c r="B6" s="28" t="n"/>
      <c r="C6" s="30" t="n"/>
      <c r="D6" s="30" t="n"/>
      <c r="E6" s="29" t="n"/>
      <c r="F6" s="28" t="n"/>
      <c r="G6" s="46">
        <f>IF(AND(F6&lt;&gt;"Paid",F6&lt;&gt;"",TODAY()&gt;D6),"⚠ PAST DUE","")</f>
        <v/>
      </c>
      <c r="H6" s="28" t="n"/>
      <c r="I6" s="30" t="n"/>
    </row>
    <row r="7">
      <c r="A7" s="25" t="n"/>
      <c r="B7" s="25" t="n"/>
      <c r="C7" s="27" t="n"/>
      <c r="D7" s="27" t="n"/>
      <c r="E7" s="26" t="n"/>
      <c r="F7" s="25" t="n"/>
      <c r="G7" s="45">
        <f>IF(AND(F7&lt;&gt;"Paid",F7&lt;&gt;"",TODAY()&gt;D7),"⚠ PAST DUE","")</f>
        <v/>
      </c>
      <c r="H7" s="25" t="n"/>
      <c r="I7" s="27" t="n"/>
    </row>
    <row r="8">
      <c r="A8" s="28" t="n"/>
      <c r="B8" s="28" t="n"/>
      <c r="C8" s="30" t="n"/>
      <c r="D8" s="30" t="n"/>
      <c r="E8" s="29" t="n"/>
      <c r="F8" s="28" t="n"/>
      <c r="G8" s="46">
        <f>IF(AND(F8&lt;&gt;"Paid",F8&lt;&gt;"",TODAY()&gt;D8),"⚠ PAST DUE","")</f>
        <v/>
      </c>
      <c r="H8" s="28" t="n"/>
      <c r="I8" s="30" t="n"/>
    </row>
    <row r="9">
      <c r="A9" s="25" t="n"/>
      <c r="B9" s="25" t="n"/>
      <c r="C9" s="27" t="n"/>
      <c r="D9" s="27" t="n"/>
      <c r="E9" s="26" t="n"/>
      <c r="F9" s="25" t="n"/>
      <c r="G9" s="45">
        <f>IF(AND(F9&lt;&gt;"Paid",F9&lt;&gt;"",TODAY()&gt;D9),"⚠ PAST DUE","")</f>
        <v/>
      </c>
      <c r="H9" s="25" t="n"/>
      <c r="I9" s="27" t="n"/>
    </row>
    <row r="10">
      <c r="A10" s="28" t="n"/>
      <c r="B10" s="28" t="n"/>
      <c r="C10" s="30" t="n"/>
      <c r="D10" s="30" t="n"/>
      <c r="E10" s="29" t="n"/>
      <c r="F10" s="28" t="n"/>
      <c r="G10" s="46">
        <f>IF(AND(F10&lt;&gt;"Paid",F10&lt;&gt;"",TODAY()&gt;D10),"⚠ PAST DUE","")</f>
        <v/>
      </c>
      <c r="H10" s="28" t="n"/>
      <c r="I10" s="30" t="n"/>
    </row>
    <row r="11">
      <c r="A11" s="25" t="n"/>
      <c r="B11" s="25" t="n"/>
      <c r="C11" s="27" t="n"/>
      <c r="D11" s="27" t="n"/>
      <c r="E11" s="26" t="n"/>
      <c r="F11" s="25" t="n"/>
      <c r="G11" s="45">
        <f>IF(AND(F11&lt;&gt;"Paid",F11&lt;&gt;"",TODAY()&gt;D11),"⚠ PAST DUE","")</f>
        <v/>
      </c>
      <c r="H11" s="25" t="n"/>
      <c r="I11" s="27" t="n"/>
    </row>
    <row r="12">
      <c r="A12" s="28" t="n"/>
      <c r="B12" s="28" t="n"/>
      <c r="C12" s="30" t="n"/>
      <c r="D12" s="30" t="n"/>
      <c r="E12" s="29" t="n"/>
      <c r="F12" s="28" t="n"/>
      <c r="G12" s="46">
        <f>IF(AND(F12&lt;&gt;"Paid",F12&lt;&gt;"",TODAY()&gt;D12),"⚠ PAST DUE","")</f>
        <v/>
      </c>
      <c r="H12" s="28" t="n"/>
      <c r="I12" s="30" t="n"/>
    </row>
    <row r="13">
      <c r="A13" s="25" t="n"/>
      <c r="B13" s="25" t="n"/>
      <c r="C13" s="27" t="n"/>
      <c r="D13" s="27" t="n"/>
      <c r="E13" s="26" t="n"/>
      <c r="F13" s="25" t="n"/>
      <c r="G13" s="45">
        <f>IF(AND(F13&lt;&gt;"Paid",F13&lt;&gt;"",TODAY()&gt;D13),"⚠ PAST DUE","")</f>
        <v/>
      </c>
      <c r="H13" s="25" t="n"/>
      <c r="I13" s="27" t="n"/>
    </row>
    <row r="14">
      <c r="A14" s="28" t="n"/>
      <c r="B14" s="28" t="n"/>
      <c r="C14" s="30" t="n"/>
      <c r="D14" s="30" t="n"/>
      <c r="E14" s="29" t="n"/>
      <c r="F14" s="28" t="n"/>
      <c r="G14" s="46">
        <f>IF(AND(F14&lt;&gt;"Paid",F14&lt;&gt;"",TODAY()&gt;D14),"⚠ PAST DUE","")</f>
        <v/>
      </c>
      <c r="H14" s="28" t="n"/>
      <c r="I14" s="30" t="n"/>
    </row>
    <row r="15">
      <c r="A15" s="25" t="n"/>
      <c r="B15" s="25" t="n"/>
      <c r="C15" s="27" t="n"/>
      <c r="D15" s="27" t="n"/>
      <c r="E15" s="26" t="n"/>
      <c r="F15" s="25" t="n"/>
      <c r="G15" s="45">
        <f>IF(AND(F15&lt;&gt;"Paid",F15&lt;&gt;"",TODAY()&gt;D15),"⚠ PAST DUE","")</f>
        <v/>
      </c>
      <c r="H15" s="25" t="n"/>
      <c r="I15" s="27" t="n"/>
    </row>
    <row r="16">
      <c r="A16" s="28" t="n"/>
      <c r="B16" s="28" t="n"/>
      <c r="C16" s="30" t="n"/>
      <c r="D16" s="30" t="n"/>
      <c r="E16" s="29" t="n"/>
      <c r="F16" s="28" t="n"/>
      <c r="G16" s="46">
        <f>IF(AND(F16&lt;&gt;"Paid",F16&lt;&gt;"",TODAY()&gt;D16),"⚠ PAST DUE","")</f>
        <v/>
      </c>
      <c r="H16" s="28" t="n"/>
      <c r="I16" s="30" t="n"/>
    </row>
    <row r="17">
      <c r="A17" s="25" t="n"/>
      <c r="B17" s="25" t="n"/>
      <c r="C17" s="27" t="n"/>
      <c r="D17" s="27" t="n"/>
      <c r="E17" s="26" t="n"/>
      <c r="F17" s="25" t="n"/>
      <c r="G17" s="45">
        <f>IF(AND(F17&lt;&gt;"Paid",F17&lt;&gt;"",TODAY()&gt;D17),"⚠ PAST DUE","")</f>
        <v/>
      </c>
      <c r="H17" s="25" t="n"/>
      <c r="I17" s="27" t="n"/>
    </row>
    <row r="18">
      <c r="A18" s="28" t="n"/>
      <c r="B18" s="28" t="n"/>
      <c r="C18" s="30" t="n"/>
      <c r="D18" s="30" t="n"/>
      <c r="E18" s="29" t="n"/>
      <c r="F18" s="28" t="n"/>
      <c r="G18" s="46">
        <f>IF(AND(F18&lt;&gt;"Paid",F18&lt;&gt;"",TODAY()&gt;D18),"⚠ PAST DUE","")</f>
        <v/>
      </c>
      <c r="H18" s="28" t="n"/>
      <c r="I18" s="30" t="n"/>
    </row>
    <row r="19">
      <c r="A19" s="25" t="n"/>
      <c r="B19" s="25" t="n"/>
      <c r="C19" s="27" t="n"/>
      <c r="D19" s="27" t="n"/>
      <c r="E19" s="26" t="n"/>
      <c r="F19" s="25" t="n"/>
      <c r="G19" s="45">
        <f>IF(AND(F19&lt;&gt;"Paid",F19&lt;&gt;"",TODAY()&gt;D19),"⚠ PAST DUE","")</f>
        <v/>
      </c>
      <c r="H19" s="25" t="n"/>
      <c r="I19" s="27" t="n"/>
    </row>
    <row r="20">
      <c r="A20" s="28" t="n"/>
      <c r="B20" s="28" t="n"/>
      <c r="C20" s="30" t="n"/>
      <c r="D20" s="30" t="n"/>
      <c r="E20" s="29" t="n"/>
      <c r="F20" s="28" t="n"/>
      <c r="G20" s="46">
        <f>IF(AND(F20&lt;&gt;"Paid",F20&lt;&gt;"",TODAY()&gt;D20),"⚠ PAST DUE","")</f>
        <v/>
      </c>
      <c r="H20" s="28" t="n"/>
      <c r="I20" s="30" t="n"/>
    </row>
    <row r="21">
      <c r="A21" s="25" t="n"/>
      <c r="B21" s="25" t="n"/>
      <c r="C21" s="27" t="n"/>
      <c r="D21" s="27" t="n"/>
      <c r="E21" s="26" t="n"/>
      <c r="F21" s="25" t="n"/>
      <c r="G21" s="45">
        <f>IF(AND(F21&lt;&gt;"Paid",F21&lt;&gt;"",TODAY()&gt;D21),"⚠ PAST DUE","")</f>
        <v/>
      </c>
      <c r="H21" s="25" t="n"/>
      <c r="I21" s="27" t="n"/>
    </row>
    <row r="22">
      <c r="A22" s="28" t="n"/>
      <c r="B22" s="28" t="n"/>
      <c r="C22" s="30" t="n"/>
      <c r="D22" s="30" t="n"/>
      <c r="E22" s="29" t="n"/>
      <c r="F22" s="28" t="n"/>
      <c r="G22" s="46">
        <f>IF(AND(F22&lt;&gt;"Paid",F22&lt;&gt;"",TODAY()&gt;D22),"⚠ PAST DUE","")</f>
        <v/>
      </c>
      <c r="H22" s="28" t="n"/>
      <c r="I22" s="30" t="n"/>
    </row>
    <row r="23">
      <c r="A23" s="25" t="n"/>
      <c r="B23" s="25" t="n"/>
      <c r="C23" s="27" t="n"/>
      <c r="D23" s="27" t="n"/>
      <c r="E23" s="26" t="n"/>
      <c r="F23" s="25" t="n"/>
      <c r="G23" s="45">
        <f>IF(AND(F23&lt;&gt;"Paid",F23&lt;&gt;"",TODAY()&gt;D23),"⚠ PAST DUE","")</f>
        <v/>
      </c>
      <c r="H23" s="25" t="n"/>
      <c r="I23" s="27" t="n"/>
    </row>
    <row r="24">
      <c r="A24" s="28" t="n"/>
      <c r="B24" s="28" t="n"/>
      <c r="C24" s="30" t="n"/>
      <c r="D24" s="30" t="n"/>
      <c r="E24" s="29" t="n"/>
      <c r="F24" s="28" t="n"/>
      <c r="G24" s="46">
        <f>IF(AND(F24&lt;&gt;"Paid",F24&lt;&gt;"",TODAY()&gt;D24),"⚠ PAST DUE","")</f>
        <v/>
      </c>
      <c r="H24" s="28" t="n"/>
      <c r="I24" s="30" t="n"/>
    </row>
    <row r="25">
      <c r="A25" s="25" t="n"/>
      <c r="B25" s="25" t="n"/>
      <c r="C25" s="27" t="n"/>
      <c r="D25" s="27" t="n"/>
      <c r="E25" s="26" t="n"/>
      <c r="F25" s="25" t="n"/>
      <c r="G25" s="45">
        <f>IF(AND(F25&lt;&gt;"Paid",F25&lt;&gt;"",TODAY()&gt;D25),"⚠ PAST DUE","")</f>
        <v/>
      </c>
      <c r="H25" s="25" t="n"/>
      <c r="I25" s="27" t="n"/>
    </row>
    <row r="26">
      <c r="A26" s="28" t="n"/>
      <c r="B26" s="28" t="n"/>
      <c r="C26" s="30" t="n"/>
      <c r="D26" s="30" t="n"/>
      <c r="E26" s="29" t="n"/>
      <c r="F26" s="28" t="n"/>
      <c r="G26" s="46">
        <f>IF(AND(F26&lt;&gt;"Paid",F26&lt;&gt;"",TODAY()&gt;D26),"⚠ PAST DUE","")</f>
        <v/>
      </c>
      <c r="H26" s="28" t="n"/>
      <c r="I26" s="30" t="n"/>
    </row>
    <row r="27">
      <c r="A27" s="25" t="n"/>
      <c r="B27" s="25" t="n"/>
      <c r="C27" s="27" t="n"/>
      <c r="D27" s="27" t="n"/>
      <c r="E27" s="26" t="n"/>
      <c r="F27" s="25" t="n"/>
      <c r="G27" s="45">
        <f>IF(AND(F27&lt;&gt;"Paid",F27&lt;&gt;"",TODAY()&gt;D27),"⚠ PAST DUE","")</f>
        <v/>
      </c>
      <c r="H27" s="25" t="n"/>
      <c r="I27" s="27" t="n"/>
    </row>
    <row r="28">
      <c r="A28" s="28" t="n"/>
      <c r="B28" s="28" t="n"/>
      <c r="C28" s="30" t="n"/>
      <c r="D28" s="30" t="n"/>
      <c r="E28" s="29" t="n"/>
      <c r="F28" s="28" t="n"/>
      <c r="G28" s="46">
        <f>IF(AND(F28&lt;&gt;"Paid",F28&lt;&gt;"",TODAY()&gt;D28),"⚠ PAST DUE","")</f>
        <v/>
      </c>
      <c r="H28" s="28" t="n"/>
      <c r="I28" s="30" t="n"/>
    </row>
    <row r="29">
      <c r="A29" s="25" t="n"/>
      <c r="B29" s="25" t="n"/>
      <c r="C29" s="27" t="n"/>
      <c r="D29" s="27" t="n"/>
      <c r="E29" s="26" t="n"/>
      <c r="F29" s="25" t="n"/>
      <c r="G29" s="45">
        <f>IF(AND(F29&lt;&gt;"Paid",F29&lt;&gt;"",TODAY()&gt;D29),"⚠ PAST DUE","")</f>
        <v/>
      </c>
      <c r="H29" s="25" t="n"/>
      <c r="I29" s="27" t="n"/>
    </row>
    <row r="30">
      <c r="A30" s="28" t="n"/>
      <c r="B30" s="28" t="n"/>
      <c r="C30" s="30" t="n"/>
      <c r="D30" s="30" t="n"/>
      <c r="E30" s="29" t="n"/>
      <c r="F30" s="28" t="n"/>
      <c r="G30" s="46">
        <f>IF(AND(F30&lt;&gt;"Paid",F30&lt;&gt;"",TODAY()&gt;D30),"⚠ PAST DUE","")</f>
        <v/>
      </c>
      <c r="H30" s="28" t="n"/>
      <c r="I30" s="30" t="n"/>
    </row>
    <row r="31">
      <c r="A31" s="25" t="n"/>
      <c r="B31" s="25" t="n"/>
      <c r="C31" s="27" t="n"/>
      <c r="D31" s="27" t="n"/>
      <c r="E31" s="26" t="n"/>
      <c r="F31" s="25" t="n"/>
      <c r="G31" s="45">
        <f>IF(AND(F31&lt;&gt;"Paid",F31&lt;&gt;"",TODAY()&gt;D31),"⚠ PAST DUE","")</f>
        <v/>
      </c>
      <c r="H31" s="25" t="n"/>
      <c r="I31" s="27" t="n"/>
    </row>
    <row r="32">
      <c r="A32" s="28" t="n"/>
      <c r="B32" s="28" t="n"/>
      <c r="C32" s="30" t="n"/>
      <c r="D32" s="30" t="n"/>
      <c r="E32" s="29" t="n"/>
      <c r="F32" s="28" t="n"/>
      <c r="G32" s="46">
        <f>IF(AND(F32&lt;&gt;"Paid",F32&lt;&gt;"",TODAY()&gt;D32),"⚠ PAST DUE","")</f>
        <v/>
      </c>
      <c r="H32" s="28" t="n"/>
      <c r="I32" s="30" t="n"/>
    </row>
    <row r="33">
      <c r="A33" s="25" t="n"/>
      <c r="B33" s="25" t="n"/>
      <c r="C33" s="27" t="n"/>
      <c r="D33" s="27" t="n"/>
      <c r="E33" s="26" t="n"/>
      <c r="F33" s="25" t="n"/>
      <c r="G33" s="45">
        <f>IF(AND(F33&lt;&gt;"Paid",F33&lt;&gt;"",TODAY()&gt;D33),"⚠ PAST DUE","")</f>
        <v/>
      </c>
      <c r="H33" s="25" t="n"/>
      <c r="I33" s="27" t="n"/>
    </row>
    <row r="34">
      <c r="A34" s="28" t="n"/>
      <c r="B34" s="28" t="n"/>
      <c r="C34" s="30" t="n"/>
      <c r="D34" s="30" t="n"/>
      <c r="E34" s="29" t="n"/>
      <c r="F34" s="28" t="n"/>
      <c r="G34" s="46">
        <f>IF(AND(F34&lt;&gt;"Paid",F34&lt;&gt;"",TODAY()&gt;D34),"⚠ PAST DUE","")</f>
        <v/>
      </c>
      <c r="H34" s="28" t="n"/>
      <c r="I34" s="30" t="n"/>
    </row>
    <row r="35">
      <c r="A35" s="25" t="n"/>
      <c r="B35" s="25" t="n"/>
      <c r="C35" s="27" t="n"/>
      <c r="D35" s="27" t="n"/>
      <c r="E35" s="26" t="n"/>
      <c r="F35" s="25" t="n"/>
      <c r="G35" s="45">
        <f>IF(AND(F35&lt;&gt;"Paid",F35&lt;&gt;"",TODAY()&gt;D35),"⚠ PAST DUE","")</f>
        <v/>
      </c>
      <c r="H35" s="25" t="n"/>
      <c r="I35" s="27" t="n"/>
    </row>
    <row r="36">
      <c r="A36" s="28" t="n"/>
      <c r="B36" s="28" t="n"/>
      <c r="C36" s="30" t="n"/>
      <c r="D36" s="30" t="n"/>
      <c r="E36" s="29" t="n"/>
      <c r="F36" s="28" t="n"/>
      <c r="G36" s="46">
        <f>IF(AND(F36&lt;&gt;"Paid",F36&lt;&gt;"",TODAY()&gt;D36),"⚠ PAST DUE","")</f>
        <v/>
      </c>
      <c r="H36" s="28" t="n"/>
      <c r="I36" s="30" t="n"/>
    </row>
    <row r="37">
      <c r="A37" s="25" t="n"/>
      <c r="B37" s="25" t="n"/>
      <c r="C37" s="27" t="n"/>
      <c r="D37" s="27" t="n"/>
      <c r="E37" s="26" t="n"/>
      <c r="F37" s="25" t="n"/>
      <c r="G37" s="45">
        <f>IF(AND(F37&lt;&gt;"Paid",F37&lt;&gt;"",TODAY()&gt;D37),"⚠ PAST DUE","")</f>
        <v/>
      </c>
      <c r="H37" s="25" t="n"/>
      <c r="I37" s="27" t="n"/>
    </row>
    <row r="38">
      <c r="A38" s="28" t="n"/>
      <c r="B38" s="28" t="n"/>
      <c r="C38" s="30" t="n"/>
      <c r="D38" s="30" t="n"/>
      <c r="E38" s="29" t="n"/>
      <c r="F38" s="28" t="n"/>
      <c r="G38" s="46">
        <f>IF(AND(F38&lt;&gt;"Paid",F38&lt;&gt;"",TODAY()&gt;D38),"⚠ PAST DUE","")</f>
        <v/>
      </c>
      <c r="H38" s="28" t="n"/>
      <c r="I38" s="30" t="n"/>
    </row>
    <row r="39">
      <c r="A39" s="25" t="n"/>
      <c r="B39" s="25" t="n"/>
      <c r="C39" s="27" t="n"/>
      <c r="D39" s="27" t="n"/>
      <c r="E39" s="26" t="n"/>
      <c r="F39" s="25" t="n"/>
      <c r="G39" s="45">
        <f>IF(AND(F39&lt;&gt;"Paid",F39&lt;&gt;"",TODAY()&gt;D39),"⚠ PAST DUE","")</f>
        <v/>
      </c>
      <c r="H39" s="25" t="n"/>
      <c r="I39" s="27" t="n"/>
    </row>
    <row r="40">
      <c r="A40" s="28" t="n"/>
      <c r="B40" s="28" t="n"/>
      <c r="C40" s="30" t="n"/>
      <c r="D40" s="30" t="n"/>
      <c r="E40" s="29" t="n"/>
      <c r="F40" s="28" t="n"/>
      <c r="G40" s="46">
        <f>IF(AND(F40&lt;&gt;"Paid",F40&lt;&gt;"",TODAY()&gt;D40),"⚠ PAST DUE","")</f>
        <v/>
      </c>
      <c r="H40" s="28" t="n"/>
      <c r="I40" s="30" t="n"/>
    </row>
    <row r="41">
      <c r="A41" s="25" t="n"/>
      <c r="B41" s="25" t="n"/>
      <c r="C41" s="27" t="n"/>
      <c r="D41" s="27" t="n"/>
      <c r="E41" s="26" t="n"/>
      <c r="F41" s="25" t="n"/>
      <c r="G41" s="45">
        <f>IF(AND(F41&lt;&gt;"Paid",F41&lt;&gt;"",TODAY()&gt;D41),"⚠ PAST DUE","")</f>
        <v/>
      </c>
      <c r="H41" s="25" t="n"/>
      <c r="I41" s="27" t="n"/>
    </row>
    <row r="42">
      <c r="A42" s="28" t="n"/>
      <c r="B42" s="28" t="n"/>
      <c r="C42" s="30" t="n"/>
      <c r="D42" s="30" t="n"/>
      <c r="E42" s="29" t="n"/>
      <c r="F42" s="28" t="n"/>
      <c r="G42" s="46">
        <f>IF(AND(F42&lt;&gt;"Paid",F42&lt;&gt;"",TODAY()&gt;D42),"⚠ PAST DUE","")</f>
        <v/>
      </c>
      <c r="H42" s="28" t="n"/>
      <c r="I42" s="30" t="n"/>
    </row>
    <row r="43">
      <c r="A43" s="25" t="n"/>
      <c r="B43" s="25" t="n"/>
      <c r="C43" s="27" t="n"/>
      <c r="D43" s="27" t="n"/>
      <c r="E43" s="26" t="n"/>
      <c r="F43" s="25" t="n"/>
      <c r="G43" s="45">
        <f>IF(AND(F43&lt;&gt;"Paid",F43&lt;&gt;"",TODAY()&gt;D43),"⚠ PAST DUE","")</f>
        <v/>
      </c>
      <c r="H43" s="25" t="n"/>
      <c r="I43" s="27" t="n"/>
    </row>
    <row r="44">
      <c r="A44" s="28" t="n"/>
      <c r="B44" s="28" t="n"/>
      <c r="C44" s="30" t="n"/>
      <c r="D44" s="30" t="n"/>
      <c r="E44" s="29" t="n"/>
      <c r="F44" s="28" t="n"/>
      <c r="G44" s="46">
        <f>IF(AND(F44&lt;&gt;"Paid",F44&lt;&gt;"",TODAY()&gt;D44),"⚠ PAST DUE","")</f>
        <v/>
      </c>
      <c r="H44" s="28" t="n"/>
      <c r="I44" s="30" t="n"/>
    </row>
    <row r="45">
      <c r="A45" s="25" t="n"/>
      <c r="B45" s="25" t="n"/>
      <c r="C45" s="27" t="n"/>
      <c r="D45" s="27" t="n"/>
      <c r="E45" s="26" t="n"/>
      <c r="F45" s="25" t="n"/>
      <c r="G45" s="45">
        <f>IF(AND(F45&lt;&gt;"Paid",F45&lt;&gt;"",TODAY()&gt;D45),"⚠ PAST DUE","")</f>
        <v/>
      </c>
      <c r="H45" s="25" t="n"/>
      <c r="I45" s="27" t="n"/>
    </row>
    <row r="46">
      <c r="A46" s="28" t="n"/>
      <c r="B46" s="28" t="n"/>
      <c r="C46" s="30" t="n"/>
      <c r="D46" s="30" t="n"/>
      <c r="E46" s="29" t="n"/>
      <c r="F46" s="28" t="n"/>
      <c r="G46" s="46">
        <f>IF(AND(F46&lt;&gt;"Paid",F46&lt;&gt;"",TODAY()&gt;D46),"⚠ PAST DUE","")</f>
        <v/>
      </c>
      <c r="H46" s="28" t="n"/>
      <c r="I46" s="30" t="n"/>
    </row>
    <row r="47">
      <c r="A47" s="25" t="n"/>
      <c r="B47" s="25" t="n"/>
      <c r="C47" s="27" t="n"/>
      <c r="D47" s="27" t="n"/>
      <c r="E47" s="26" t="n"/>
      <c r="F47" s="25" t="n"/>
      <c r="G47" s="45">
        <f>IF(AND(F47&lt;&gt;"Paid",F47&lt;&gt;"",TODAY()&gt;D47),"⚠ PAST DUE","")</f>
        <v/>
      </c>
      <c r="H47" s="25" t="n"/>
      <c r="I47" s="27" t="n"/>
    </row>
    <row r="48">
      <c r="A48" s="28" t="n"/>
      <c r="B48" s="28" t="n"/>
      <c r="C48" s="30" t="n"/>
      <c r="D48" s="30" t="n"/>
      <c r="E48" s="29" t="n"/>
      <c r="F48" s="28" t="n"/>
      <c r="G48" s="46">
        <f>IF(AND(F48&lt;&gt;"Paid",F48&lt;&gt;"",TODAY()&gt;D48),"⚠ PAST DUE","")</f>
        <v/>
      </c>
      <c r="H48" s="28" t="n"/>
      <c r="I48" s="30" t="n"/>
    </row>
    <row r="49">
      <c r="A49" s="25" t="n"/>
      <c r="B49" s="25" t="n"/>
      <c r="C49" s="27" t="n"/>
      <c r="D49" s="27" t="n"/>
      <c r="E49" s="26" t="n"/>
      <c r="F49" s="25" t="n"/>
      <c r="G49" s="45">
        <f>IF(AND(F49&lt;&gt;"Paid",F49&lt;&gt;"",TODAY()&gt;D49),"⚠ PAST DUE","")</f>
        <v/>
      </c>
      <c r="H49" s="25" t="n"/>
      <c r="I49" s="27" t="n"/>
    </row>
    <row r="50">
      <c r="A50" s="28" t="n"/>
      <c r="B50" s="28" t="n"/>
      <c r="C50" s="30" t="n"/>
      <c r="D50" s="30" t="n"/>
      <c r="E50" s="29" t="n"/>
      <c r="F50" s="28" t="n"/>
      <c r="G50" s="46">
        <f>IF(AND(F50&lt;&gt;"Paid",F50&lt;&gt;"",TODAY()&gt;D50),"⚠ PAST DUE","")</f>
        <v/>
      </c>
      <c r="H50" s="28" t="n"/>
      <c r="I50" s="30" t="n"/>
    </row>
    <row r="51">
      <c r="A51" s="25" t="n"/>
      <c r="B51" s="25" t="n"/>
      <c r="C51" s="27" t="n"/>
      <c r="D51" s="27" t="n"/>
      <c r="E51" s="26" t="n"/>
      <c r="F51" s="25" t="n"/>
      <c r="G51" s="45">
        <f>IF(AND(F51&lt;&gt;"Paid",F51&lt;&gt;"",TODAY()&gt;D51),"⚠ PAST DUE","")</f>
        <v/>
      </c>
      <c r="H51" s="25" t="n"/>
      <c r="I51" s="27" t="n"/>
    </row>
    <row r="52">
      <c r="A52" s="28" t="n"/>
      <c r="B52" s="28" t="n"/>
      <c r="C52" s="30" t="n"/>
      <c r="D52" s="30" t="n"/>
      <c r="E52" s="29" t="n"/>
      <c r="F52" s="28" t="n"/>
      <c r="G52" s="46">
        <f>IF(AND(F52&lt;&gt;"Paid",F52&lt;&gt;"",TODAY()&gt;D52),"⚠ PAST DUE","")</f>
        <v/>
      </c>
      <c r="H52" s="28" t="n"/>
      <c r="I52" s="30" t="n"/>
    </row>
    <row r="53">
      <c r="A53" s="25" t="n"/>
      <c r="B53" s="25" t="n"/>
      <c r="C53" s="27" t="n"/>
      <c r="D53" s="27" t="n"/>
      <c r="E53" s="26" t="n"/>
      <c r="F53" s="25" t="n"/>
      <c r="G53" s="45">
        <f>IF(AND(F53&lt;&gt;"Paid",F53&lt;&gt;"",TODAY()&gt;D53),"⚠ PAST DUE","")</f>
        <v/>
      </c>
      <c r="H53" s="25" t="n"/>
      <c r="I53" s="27" t="n"/>
    </row>
    <row r="54">
      <c r="A54" s="28" t="n"/>
      <c r="B54" s="28" t="n"/>
      <c r="C54" s="30" t="n"/>
      <c r="D54" s="30" t="n"/>
      <c r="E54" s="29" t="n"/>
      <c r="F54" s="28" t="n"/>
      <c r="G54" s="46">
        <f>IF(AND(F54&lt;&gt;"Paid",F54&lt;&gt;"",TODAY()&gt;D54),"⚠ PAST DUE","")</f>
        <v/>
      </c>
      <c r="H54" s="28" t="n"/>
      <c r="I54" s="30" t="n"/>
    </row>
    <row r="55">
      <c r="A55" s="25" t="n"/>
      <c r="B55" s="25" t="n"/>
      <c r="C55" s="27" t="n"/>
      <c r="D55" s="27" t="n"/>
      <c r="E55" s="26" t="n"/>
      <c r="F55" s="25" t="n"/>
      <c r="G55" s="45">
        <f>IF(AND(F55&lt;&gt;"Paid",F55&lt;&gt;"",TODAY()&gt;D55),"⚠ PAST DUE","")</f>
        <v/>
      </c>
      <c r="H55" s="25" t="n"/>
      <c r="I55" s="27" t="n"/>
    </row>
    <row r="56">
      <c r="A56" s="28" t="n"/>
      <c r="B56" s="28" t="n"/>
      <c r="C56" s="30" t="n"/>
      <c r="D56" s="30" t="n"/>
      <c r="E56" s="29" t="n"/>
      <c r="F56" s="28" t="n"/>
      <c r="G56" s="46">
        <f>IF(AND(F56&lt;&gt;"Paid",F56&lt;&gt;"",TODAY()&gt;D56),"⚠ PAST DUE","")</f>
        <v/>
      </c>
      <c r="H56" s="28" t="n"/>
      <c r="I56" s="30" t="n"/>
    </row>
    <row r="57">
      <c r="A57" s="25" t="n"/>
      <c r="B57" s="25" t="n"/>
      <c r="C57" s="27" t="n"/>
      <c r="D57" s="27" t="n"/>
      <c r="E57" s="26" t="n"/>
      <c r="F57" s="25" t="n"/>
      <c r="G57" s="45">
        <f>IF(AND(F57&lt;&gt;"Paid",F57&lt;&gt;"",TODAY()&gt;D57),"⚠ PAST DUE","")</f>
        <v/>
      </c>
      <c r="H57" s="25" t="n"/>
      <c r="I57" s="27" t="n"/>
    </row>
    <row r="58">
      <c r="A58" s="28" t="n"/>
      <c r="B58" s="28" t="n"/>
      <c r="C58" s="30" t="n"/>
      <c r="D58" s="30" t="n"/>
      <c r="E58" s="29" t="n"/>
      <c r="F58" s="28" t="n"/>
      <c r="G58" s="46">
        <f>IF(AND(F58&lt;&gt;"Paid",F58&lt;&gt;"",TODAY()&gt;D58),"⚠ PAST DUE","")</f>
        <v/>
      </c>
      <c r="H58" s="28" t="n"/>
      <c r="I58" s="30" t="n"/>
    </row>
    <row r="59">
      <c r="A59" s="25" t="n"/>
      <c r="B59" s="25" t="n"/>
      <c r="C59" s="27" t="n"/>
      <c r="D59" s="27" t="n"/>
      <c r="E59" s="26" t="n"/>
      <c r="F59" s="25" t="n"/>
      <c r="G59" s="45">
        <f>IF(AND(F59&lt;&gt;"Paid",F59&lt;&gt;"",TODAY()&gt;D59),"⚠ PAST DUE","")</f>
        <v/>
      </c>
      <c r="H59" s="25" t="n"/>
      <c r="I59" s="27" t="n"/>
    </row>
    <row r="60">
      <c r="A60" s="28" t="n"/>
      <c r="B60" s="28" t="n"/>
      <c r="C60" s="30" t="n"/>
      <c r="D60" s="30" t="n"/>
      <c r="E60" s="29" t="n"/>
      <c r="F60" s="28" t="n"/>
      <c r="G60" s="46">
        <f>IF(AND(F60&lt;&gt;"Paid",F60&lt;&gt;"",TODAY()&gt;D60),"⚠ PAST DUE","")</f>
        <v/>
      </c>
      <c r="H60" s="28" t="n"/>
      <c r="I60" s="30" t="n"/>
    </row>
    <row r="61">
      <c r="A61" s="25" t="n"/>
      <c r="B61" s="25" t="n"/>
      <c r="C61" s="27" t="n"/>
      <c r="D61" s="27" t="n"/>
      <c r="E61" s="26" t="n"/>
      <c r="F61" s="25" t="n"/>
      <c r="G61" s="45">
        <f>IF(AND(F61&lt;&gt;"Paid",F61&lt;&gt;"",TODAY()&gt;D61),"⚠ PAST DUE","")</f>
        <v/>
      </c>
      <c r="H61" s="25" t="n"/>
      <c r="I61" s="27" t="n"/>
    </row>
    <row r="62">
      <c r="A62" s="28" t="n"/>
      <c r="B62" s="28" t="n"/>
      <c r="C62" s="30" t="n"/>
      <c r="D62" s="30" t="n"/>
      <c r="E62" s="29" t="n"/>
      <c r="F62" s="28" t="n"/>
      <c r="G62" s="46">
        <f>IF(AND(F62&lt;&gt;"Paid",F62&lt;&gt;"",TODAY()&gt;D62),"⚠ PAST DUE","")</f>
        <v/>
      </c>
      <c r="H62" s="28" t="n"/>
      <c r="I62" s="30" t="n"/>
    </row>
    <row r="63">
      <c r="A63" s="25" t="n"/>
      <c r="B63" s="25" t="n"/>
      <c r="C63" s="27" t="n"/>
      <c r="D63" s="27" t="n"/>
      <c r="E63" s="26" t="n"/>
      <c r="F63" s="25" t="n"/>
      <c r="G63" s="45">
        <f>IF(AND(F63&lt;&gt;"Paid",F63&lt;&gt;"",TODAY()&gt;D63),"⚠ PAST DUE","")</f>
        <v/>
      </c>
      <c r="H63" s="25" t="n"/>
      <c r="I63" s="27" t="n"/>
    </row>
    <row r="64">
      <c r="A64" s="28" t="n"/>
      <c r="B64" s="28" t="n"/>
      <c r="C64" s="30" t="n"/>
      <c r="D64" s="30" t="n"/>
      <c r="E64" s="29" t="n"/>
      <c r="F64" s="28" t="n"/>
      <c r="G64" s="46">
        <f>IF(AND(F64&lt;&gt;"Paid",F64&lt;&gt;"",TODAY()&gt;D64),"⚠ PAST DUE","")</f>
        <v/>
      </c>
      <c r="H64" s="28" t="n"/>
      <c r="I64" s="30" t="n"/>
    </row>
    <row r="65">
      <c r="A65" s="25" t="n"/>
      <c r="B65" s="25" t="n"/>
      <c r="C65" s="27" t="n"/>
      <c r="D65" s="27" t="n"/>
      <c r="E65" s="26" t="n"/>
      <c r="F65" s="25" t="n"/>
      <c r="G65" s="45">
        <f>IF(AND(F65&lt;&gt;"Paid",F65&lt;&gt;"",TODAY()&gt;D65),"⚠ PAST DUE","")</f>
        <v/>
      </c>
      <c r="H65" s="25" t="n"/>
      <c r="I65" s="27" t="n"/>
    </row>
    <row r="66">
      <c r="A66" s="28" t="n"/>
      <c r="B66" s="28" t="n"/>
      <c r="C66" s="30" t="n"/>
      <c r="D66" s="30" t="n"/>
      <c r="E66" s="29" t="n"/>
      <c r="F66" s="28" t="n"/>
      <c r="G66" s="46">
        <f>IF(AND(F66&lt;&gt;"Paid",F66&lt;&gt;"",TODAY()&gt;D66),"⚠ PAST DUE","")</f>
        <v/>
      </c>
      <c r="H66" s="28" t="n"/>
      <c r="I66" s="30" t="n"/>
    </row>
    <row r="67">
      <c r="A67" s="25" t="n"/>
      <c r="B67" s="25" t="n"/>
      <c r="C67" s="27" t="n"/>
      <c r="D67" s="27" t="n"/>
      <c r="E67" s="26" t="n"/>
      <c r="F67" s="25" t="n"/>
      <c r="G67" s="45">
        <f>IF(AND(F67&lt;&gt;"Paid",F67&lt;&gt;"",TODAY()&gt;D67),"⚠ PAST DUE","")</f>
        <v/>
      </c>
      <c r="H67" s="25" t="n"/>
      <c r="I67" s="27" t="n"/>
    </row>
    <row r="68">
      <c r="A68" s="28" t="n"/>
      <c r="B68" s="28" t="n"/>
      <c r="C68" s="30" t="n"/>
      <c r="D68" s="30" t="n"/>
      <c r="E68" s="29" t="n"/>
      <c r="F68" s="28" t="n"/>
      <c r="G68" s="46">
        <f>IF(AND(F68&lt;&gt;"Paid",F68&lt;&gt;"",TODAY()&gt;D68),"⚠ PAST DUE","")</f>
        <v/>
      </c>
      <c r="H68" s="28" t="n"/>
      <c r="I68" s="30" t="n"/>
    </row>
    <row r="69">
      <c r="A69" s="25" t="n"/>
      <c r="B69" s="25" t="n"/>
      <c r="C69" s="27" t="n"/>
      <c r="D69" s="27" t="n"/>
      <c r="E69" s="26" t="n"/>
      <c r="F69" s="25" t="n"/>
      <c r="G69" s="45">
        <f>IF(AND(F69&lt;&gt;"Paid",F69&lt;&gt;"",TODAY()&gt;D69),"⚠ PAST DUE","")</f>
        <v/>
      </c>
      <c r="H69" s="25" t="n"/>
      <c r="I69" s="27" t="n"/>
    </row>
    <row r="70">
      <c r="A70" s="28" t="n"/>
      <c r="B70" s="28" t="n"/>
      <c r="C70" s="30" t="n"/>
      <c r="D70" s="30" t="n"/>
      <c r="E70" s="29" t="n"/>
      <c r="F70" s="28" t="n"/>
      <c r="G70" s="46">
        <f>IF(AND(F70&lt;&gt;"Paid",F70&lt;&gt;"",TODAY()&gt;D70),"⚠ PAST DUE","")</f>
        <v/>
      </c>
      <c r="H70" s="28" t="n"/>
      <c r="I70" s="30" t="n"/>
    </row>
    <row r="71">
      <c r="A71" s="25" t="n"/>
      <c r="B71" s="25" t="n"/>
      <c r="C71" s="27" t="n"/>
      <c r="D71" s="27" t="n"/>
      <c r="E71" s="26" t="n"/>
      <c r="F71" s="25" t="n"/>
      <c r="G71" s="45">
        <f>IF(AND(F71&lt;&gt;"Paid",F71&lt;&gt;"",TODAY()&gt;D71),"⚠ PAST DUE","")</f>
        <v/>
      </c>
      <c r="H71" s="25" t="n"/>
      <c r="I71" s="27" t="n"/>
    </row>
    <row r="72">
      <c r="A72" s="28" t="n"/>
      <c r="B72" s="28" t="n"/>
      <c r="C72" s="30" t="n"/>
      <c r="D72" s="30" t="n"/>
      <c r="E72" s="29" t="n"/>
      <c r="F72" s="28" t="n"/>
      <c r="G72" s="46">
        <f>IF(AND(F72&lt;&gt;"Paid",F72&lt;&gt;"",TODAY()&gt;D72),"⚠ PAST DUE","")</f>
        <v/>
      </c>
      <c r="H72" s="28" t="n"/>
      <c r="I72" s="30" t="n"/>
    </row>
    <row r="73">
      <c r="A73" s="25" t="n"/>
      <c r="B73" s="25" t="n"/>
      <c r="C73" s="27" t="n"/>
      <c r="D73" s="27" t="n"/>
      <c r="E73" s="26" t="n"/>
      <c r="F73" s="25" t="n"/>
      <c r="G73" s="45">
        <f>IF(AND(F73&lt;&gt;"Paid",F73&lt;&gt;"",TODAY()&gt;D73),"⚠ PAST DUE","")</f>
        <v/>
      </c>
      <c r="H73" s="25" t="n"/>
      <c r="I73" s="27" t="n"/>
    </row>
    <row r="74">
      <c r="A74" s="28" t="n"/>
      <c r="B74" s="28" t="n"/>
      <c r="C74" s="30" t="n"/>
      <c r="D74" s="30" t="n"/>
      <c r="E74" s="29" t="n"/>
      <c r="F74" s="28" t="n"/>
      <c r="G74" s="46">
        <f>IF(AND(F74&lt;&gt;"Paid",F74&lt;&gt;"",TODAY()&gt;D74),"⚠ PAST DUE","")</f>
        <v/>
      </c>
      <c r="H74" s="28" t="n"/>
      <c r="I74" s="30" t="n"/>
    </row>
    <row r="75">
      <c r="A75" s="25" t="n"/>
      <c r="B75" s="25" t="n"/>
      <c r="C75" s="27" t="n"/>
      <c r="D75" s="27" t="n"/>
      <c r="E75" s="26" t="n"/>
      <c r="F75" s="25" t="n"/>
      <c r="G75" s="45">
        <f>IF(AND(F75&lt;&gt;"Paid",F75&lt;&gt;"",TODAY()&gt;D75),"⚠ PAST DUE","")</f>
        <v/>
      </c>
      <c r="H75" s="25" t="n"/>
      <c r="I75" s="27" t="n"/>
    </row>
    <row r="76">
      <c r="A76" s="28" t="n"/>
      <c r="B76" s="28" t="n"/>
      <c r="C76" s="30" t="n"/>
      <c r="D76" s="30" t="n"/>
      <c r="E76" s="29" t="n"/>
      <c r="F76" s="28" t="n"/>
      <c r="G76" s="46">
        <f>IF(AND(F76&lt;&gt;"Paid",F76&lt;&gt;"",TODAY()&gt;D76),"⚠ PAST DUE","")</f>
        <v/>
      </c>
      <c r="H76" s="28" t="n"/>
      <c r="I76" s="30" t="n"/>
    </row>
    <row r="77">
      <c r="A77" s="25" t="n"/>
      <c r="B77" s="25" t="n"/>
      <c r="C77" s="27" t="n"/>
      <c r="D77" s="27" t="n"/>
      <c r="E77" s="26" t="n"/>
      <c r="F77" s="25" t="n"/>
      <c r="G77" s="45">
        <f>IF(AND(F77&lt;&gt;"Paid",F77&lt;&gt;"",TODAY()&gt;D77),"⚠ PAST DUE","")</f>
        <v/>
      </c>
      <c r="H77" s="25" t="n"/>
      <c r="I77" s="27" t="n"/>
    </row>
    <row r="78">
      <c r="A78" s="28" t="n"/>
      <c r="B78" s="28" t="n"/>
      <c r="C78" s="30" t="n"/>
      <c r="D78" s="30" t="n"/>
      <c r="E78" s="29" t="n"/>
      <c r="F78" s="28" t="n"/>
      <c r="G78" s="46">
        <f>IF(AND(F78&lt;&gt;"Paid",F78&lt;&gt;"",TODAY()&gt;D78),"⚠ PAST DUE","")</f>
        <v/>
      </c>
      <c r="H78" s="28" t="n"/>
      <c r="I78" s="30" t="n"/>
    </row>
    <row r="79">
      <c r="A79" s="25" t="n"/>
      <c r="B79" s="25" t="n"/>
      <c r="C79" s="27" t="n"/>
      <c r="D79" s="27" t="n"/>
      <c r="E79" s="26" t="n"/>
      <c r="F79" s="25" t="n"/>
      <c r="G79" s="45">
        <f>IF(AND(F79&lt;&gt;"Paid",F79&lt;&gt;"",TODAY()&gt;D79),"⚠ PAST DUE","")</f>
        <v/>
      </c>
      <c r="H79" s="25" t="n"/>
      <c r="I79" s="27" t="n"/>
    </row>
    <row r="80">
      <c r="A80" s="28" t="n"/>
      <c r="B80" s="28" t="n"/>
      <c r="C80" s="30" t="n"/>
      <c r="D80" s="30" t="n"/>
      <c r="E80" s="29" t="n"/>
      <c r="F80" s="28" t="n"/>
      <c r="G80" s="46">
        <f>IF(AND(F80&lt;&gt;"Paid",F80&lt;&gt;"",TODAY()&gt;D80),"⚠ PAST DUE","")</f>
        <v/>
      </c>
      <c r="H80" s="28" t="n"/>
      <c r="I80" s="30" t="n"/>
    </row>
    <row r="81">
      <c r="A81" s="25" t="n"/>
      <c r="B81" s="25" t="n"/>
      <c r="C81" s="27" t="n"/>
      <c r="D81" s="27" t="n"/>
      <c r="E81" s="26" t="n"/>
      <c r="F81" s="25" t="n"/>
      <c r="G81" s="45">
        <f>IF(AND(F81&lt;&gt;"Paid",F81&lt;&gt;"",TODAY()&gt;D81),"⚠ PAST DUE","")</f>
        <v/>
      </c>
      <c r="H81" s="25" t="n"/>
      <c r="I81" s="27" t="n"/>
    </row>
    <row r="82">
      <c r="A82" s="28" t="n"/>
      <c r="B82" s="28" t="n"/>
      <c r="C82" s="30" t="n"/>
      <c r="D82" s="30" t="n"/>
      <c r="E82" s="29" t="n"/>
      <c r="F82" s="28" t="n"/>
      <c r="G82" s="46">
        <f>IF(AND(F82&lt;&gt;"Paid",F82&lt;&gt;"",TODAY()&gt;D82),"⚠ PAST DUE","")</f>
        <v/>
      </c>
      <c r="H82" s="28" t="n"/>
      <c r="I82" s="30" t="n"/>
    </row>
    <row r="83">
      <c r="A83" s="25" t="n"/>
      <c r="B83" s="25" t="n"/>
      <c r="C83" s="27" t="n"/>
      <c r="D83" s="27" t="n"/>
      <c r="E83" s="26" t="n"/>
      <c r="F83" s="25" t="n"/>
      <c r="G83" s="45">
        <f>IF(AND(F83&lt;&gt;"Paid",F83&lt;&gt;"",TODAY()&gt;D83),"⚠ PAST DUE","")</f>
        <v/>
      </c>
      <c r="H83" s="25" t="n"/>
      <c r="I83" s="27" t="n"/>
    </row>
    <row r="84">
      <c r="A84" s="28" t="n"/>
      <c r="B84" s="28" t="n"/>
      <c r="C84" s="30" t="n"/>
      <c r="D84" s="30" t="n"/>
      <c r="E84" s="29" t="n"/>
      <c r="F84" s="28" t="n"/>
      <c r="G84" s="46">
        <f>IF(AND(F84&lt;&gt;"Paid",F84&lt;&gt;"",TODAY()&gt;D84),"⚠ PAST DUE","")</f>
        <v/>
      </c>
      <c r="H84" s="28" t="n"/>
      <c r="I84" s="30" t="n"/>
    </row>
    <row r="85">
      <c r="A85" s="25" t="n"/>
      <c r="B85" s="25" t="n"/>
      <c r="C85" s="27" t="n"/>
      <c r="D85" s="27" t="n"/>
      <c r="E85" s="26" t="n"/>
      <c r="F85" s="25" t="n"/>
      <c r="G85" s="45">
        <f>IF(AND(F85&lt;&gt;"Paid",F85&lt;&gt;"",TODAY()&gt;D85),"⚠ PAST DUE","")</f>
        <v/>
      </c>
      <c r="H85" s="25" t="n"/>
      <c r="I85" s="27" t="n"/>
    </row>
    <row r="86">
      <c r="A86" s="28" t="n"/>
      <c r="B86" s="28" t="n"/>
      <c r="C86" s="30" t="n"/>
      <c r="D86" s="30" t="n"/>
      <c r="E86" s="29" t="n"/>
      <c r="F86" s="28" t="n"/>
      <c r="G86" s="46">
        <f>IF(AND(F86&lt;&gt;"Paid",F86&lt;&gt;"",TODAY()&gt;D86),"⚠ PAST DUE","")</f>
        <v/>
      </c>
      <c r="H86" s="28" t="n"/>
      <c r="I86" s="30" t="n"/>
    </row>
    <row r="87">
      <c r="A87" s="25" t="n"/>
      <c r="B87" s="25" t="n"/>
      <c r="C87" s="27" t="n"/>
      <c r="D87" s="27" t="n"/>
      <c r="E87" s="26" t="n"/>
      <c r="F87" s="25" t="n"/>
      <c r="G87" s="45">
        <f>IF(AND(F87&lt;&gt;"Paid",F87&lt;&gt;"",TODAY()&gt;D87),"⚠ PAST DUE","")</f>
        <v/>
      </c>
      <c r="H87" s="25" t="n"/>
      <c r="I87" s="27" t="n"/>
    </row>
    <row r="88">
      <c r="A88" s="28" t="n"/>
      <c r="B88" s="28" t="n"/>
      <c r="C88" s="30" t="n"/>
      <c r="D88" s="30" t="n"/>
      <c r="E88" s="29" t="n"/>
      <c r="F88" s="28" t="n"/>
      <c r="G88" s="46">
        <f>IF(AND(F88&lt;&gt;"Paid",F88&lt;&gt;"",TODAY()&gt;D88),"⚠ PAST DUE","")</f>
        <v/>
      </c>
      <c r="H88" s="28" t="n"/>
      <c r="I88" s="30" t="n"/>
    </row>
    <row r="89">
      <c r="A89" s="25" t="n"/>
      <c r="B89" s="25" t="n"/>
      <c r="C89" s="27" t="n"/>
      <c r="D89" s="27" t="n"/>
      <c r="E89" s="26" t="n"/>
      <c r="F89" s="25" t="n"/>
      <c r="G89" s="45">
        <f>IF(AND(F89&lt;&gt;"Paid",F89&lt;&gt;"",TODAY()&gt;D89),"⚠ PAST DUE","")</f>
        <v/>
      </c>
      <c r="H89" s="25" t="n"/>
      <c r="I89" s="27" t="n"/>
    </row>
    <row r="90">
      <c r="A90" s="28" t="n"/>
      <c r="B90" s="28" t="n"/>
      <c r="C90" s="30" t="n"/>
      <c r="D90" s="30" t="n"/>
      <c r="E90" s="29" t="n"/>
      <c r="F90" s="28" t="n"/>
      <c r="G90" s="46">
        <f>IF(AND(F90&lt;&gt;"Paid",F90&lt;&gt;"",TODAY()&gt;D90),"⚠ PAST DUE","")</f>
        <v/>
      </c>
      <c r="H90" s="28" t="n"/>
      <c r="I90" s="30" t="n"/>
    </row>
    <row r="91">
      <c r="A91" s="25" t="n"/>
      <c r="B91" s="25" t="n"/>
      <c r="C91" s="27" t="n"/>
      <c r="D91" s="27" t="n"/>
      <c r="E91" s="26" t="n"/>
      <c r="F91" s="25" t="n"/>
      <c r="G91" s="45">
        <f>IF(AND(F91&lt;&gt;"Paid",F91&lt;&gt;"",TODAY()&gt;D91),"⚠ PAST DUE","")</f>
        <v/>
      </c>
      <c r="H91" s="25" t="n"/>
      <c r="I91" s="27" t="n"/>
    </row>
    <row r="92">
      <c r="A92" s="28" t="n"/>
      <c r="B92" s="28" t="n"/>
      <c r="C92" s="30" t="n"/>
      <c r="D92" s="30" t="n"/>
      <c r="E92" s="29" t="n"/>
      <c r="F92" s="28" t="n"/>
      <c r="G92" s="46">
        <f>IF(AND(F92&lt;&gt;"Paid",F92&lt;&gt;"",TODAY()&gt;D92),"⚠ PAST DUE","")</f>
        <v/>
      </c>
      <c r="H92" s="28" t="n"/>
      <c r="I92" s="30" t="n"/>
    </row>
    <row r="93">
      <c r="A93" s="25" t="n"/>
      <c r="B93" s="25" t="n"/>
      <c r="C93" s="27" t="n"/>
      <c r="D93" s="27" t="n"/>
      <c r="E93" s="26" t="n"/>
      <c r="F93" s="25" t="n"/>
      <c r="G93" s="45">
        <f>IF(AND(F93&lt;&gt;"Paid",F93&lt;&gt;"",TODAY()&gt;D93),"⚠ PAST DUE","")</f>
        <v/>
      </c>
      <c r="H93" s="25" t="n"/>
      <c r="I93" s="27" t="n"/>
    </row>
    <row r="94">
      <c r="A94" s="28" t="n"/>
      <c r="B94" s="28" t="n"/>
      <c r="C94" s="30" t="n"/>
      <c r="D94" s="30" t="n"/>
      <c r="E94" s="29" t="n"/>
      <c r="F94" s="28" t="n"/>
      <c r="G94" s="46">
        <f>IF(AND(F94&lt;&gt;"Paid",F94&lt;&gt;"",TODAY()&gt;D94),"⚠ PAST DUE","")</f>
        <v/>
      </c>
      <c r="H94" s="28" t="n"/>
      <c r="I94" s="30" t="n"/>
    </row>
    <row r="95">
      <c r="A95" s="25" t="n"/>
      <c r="B95" s="25" t="n"/>
      <c r="C95" s="27" t="n"/>
      <c r="D95" s="27" t="n"/>
      <c r="E95" s="26" t="n"/>
      <c r="F95" s="25" t="n"/>
      <c r="G95" s="45">
        <f>IF(AND(F95&lt;&gt;"Paid",F95&lt;&gt;"",TODAY()&gt;D95),"⚠ PAST DUE","")</f>
        <v/>
      </c>
      <c r="H95" s="25" t="n"/>
      <c r="I95" s="27" t="n"/>
    </row>
    <row r="96">
      <c r="A96" s="28" t="n"/>
      <c r="B96" s="28" t="n"/>
      <c r="C96" s="30" t="n"/>
      <c r="D96" s="30" t="n"/>
      <c r="E96" s="29" t="n"/>
      <c r="F96" s="28" t="n"/>
      <c r="G96" s="46">
        <f>IF(AND(F96&lt;&gt;"Paid",F96&lt;&gt;"",TODAY()&gt;D96),"⚠ PAST DUE","")</f>
        <v/>
      </c>
      <c r="H96" s="28" t="n"/>
      <c r="I96" s="30" t="n"/>
    </row>
    <row r="97">
      <c r="A97" s="25" t="n"/>
      <c r="B97" s="25" t="n"/>
      <c r="C97" s="27" t="n"/>
      <c r="D97" s="27" t="n"/>
      <c r="E97" s="26" t="n"/>
      <c r="F97" s="25" t="n"/>
      <c r="G97" s="45">
        <f>IF(AND(F97&lt;&gt;"Paid",F97&lt;&gt;"",TODAY()&gt;D97),"⚠ PAST DUE","")</f>
        <v/>
      </c>
      <c r="H97" s="25" t="n"/>
      <c r="I97" s="27" t="n"/>
    </row>
    <row r="98">
      <c r="A98" s="28" t="n"/>
      <c r="B98" s="28" t="n"/>
      <c r="C98" s="30" t="n"/>
      <c r="D98" s="30" t="n"/>
      <c r="E98" s="29" t="n"/>
      <c r="F98" s="28" t="n"/>
      <c r="G98" s="46">
        <f>IF(AND(F98&lt;&gt;"Paid",F98&lt;&gt;"",TODAY()&gt;D98),"⚠ PAST DUE","")</f>
        <v/>
      </c>
      <c r="H98" s="28" t="n"/>
      <c r="I98" s="30" t="n"/>
    </row>
    <row r="99">
      <c r="A99" s="25" t="n"/>
      <c r="B99" s="25" t="n"/>
      <c r="C99" s="27" t="n"/>
      <c r="D99" s="27" t="n"/>
      <c r="E99" s="26" t="n"/>
      <c r="F99" s="25" t="n"/>
      <c r="G99" s="45">
        <f>IF(AND(F99&lt;&gt;"Paid",F99&lt;&gt;"",TODAY()&gt;D99),"⚠ PAST DUE","")</f>
        <v/>
      </c>
      <c r="H99" s="25" t="n"/>
      <c r="I99" s="27" t="n"/>
    </row>
    <row r="100">
      <c r="A100" s="28" t="n"/>
      <c r="B100" s="28" t="n"/>
      <c r="C100" s="30" t="n"/>
      <c r="D100" s="30" t="n"/>
      <c r="E100" s="29" t="n"/>
      <c r="F100" s="28" t="n"/>
      <c r="G100" s="46">
        <f>IF(AND(F100&lt;&gt;"Paid",F100&lt;&gt;"",TODAY()&gt;D100),"⚠ PAST DUE","")</f>
        <v/>
      </c>
      <c r="H100" s="28" t="n"/>
      <c r="I100" s="30" t="n"/>
    </row>
    <row r="101">
      <c r="A101" s="25" t="n"/>
      <c r="B101" s="25" t="n"/>
      <c r="C101" s="27" t="n"/>
      <c r="D101" s="27" t="n"/>
      <c r="E101" s="26" t="n"/>
      <c r="F101" s="25" t="n"/>
      <c r="G101" s="45">
        <f>IF(AND(F101&lt;&gt;"Paid",F101&lt;&gt;"",TODAY()&gt;D101),"⚠ PAST DUE","")</f>
        <v/>
      </c>
      <c r="H101" s="25" t="n"/>
      <c r="I101" s="27" t="n"/>
    </row>
    <row r="102">
      <c r="A102" s="28" t="n"/>
      <c r="B102" s="28" t="n"/>
      <c r="C102" s="30" t="n"/>
      <c r="D102" s="30" t="n"/>
      <c r="E102" s="29" t="n"/>
      <c r="F102" s="28" t="n"/>
      <c r="G102" s="46">
        <f>IF(AND(F102&lt;&gt;"Paid",F102&lt;&gt;"",TODAY()&gt;D102),"⚠ PAST DUE","")</f>
        <v/>
      </c>
      <c r="H102" s="28" t="n"/>
      <c r="I102" s="30" t="n"/>
    </row>
    <row r="103">
      <c r="A103" s="25" t="n"/>
      <c r="B103" s="25" t="n"/>
      <c r="C103" s="27" t="n"/>
      <c r="D103" s="27" t="n"/>
      <c r="E103" s="26" t="n"/>
      <c r="F103" s="25" t="n"/>
      <c r="G103" s="45">
        <f>IF(AND(F103&lt;&gt;"Paid",F103&lt;&gt;"",TODAY()&gt;D103),"⚠ PAST DUE","")</f>
        <v/>
      </c>
      <c r="H103" s="25" t="n"/>
      <c r="I103" s="27" t="n"/>
    </row>
    <row r="105">
      <c r="B105" s="47" t="inlineStr">
        <is>
          <t>TOTAL PAID</t>
        </is>
      </c>
      <c r="E105" s="48">
        <f>SUMIF(F4:F103,"Paid",E4:E103)</f>
        <v/>
      </c>
    </row>
    <row r="106">
      <c r="B106" s="47" t="inlineStr">
        <is>
          <t>TOTAL UNPAID</t>
        </is>
      </c>
      <c r="E106" s="49">
        <f>SUMIF(F4:F103,"Unpaid",E4:E103)</f>
        <v/>
      </c>
    </row>
  </sheetData>
  <mergeCells count="2">
    <mergeCell ref="A1:I1"/>
    <mergeCell ref="A2:I2"/>
  </mergeCells>
  <conditionalFormatting sqref="G4:G103">
    <cfRule type="expression" priority="1" dxfId="5">
      <formula>$G4&lt;&gt;""</formula>
    </cfRule>
  </conditionalFormatting>
  <conditionalFormatting sqref="F4:F103">
    <cfRule type="cellIs" priority="2" operator="equal" dxfId="4">
      <formula>"Paid"</formula>
    </cfRule>
    <cfRule type="cellIs" priority="3" operator="equal" dxfId="1">
      <formula>"Unpaid"</formula>
    </cfRule>
  </conditionalFormatting>
  <dataValidations count="1">
    <dataValidation sqref="F4:F103" showDropDown="0" showInputMessage="0" showErrorMessage="0" allowBlank="1" type="list">
      <formula1>"Unpaid,Paid,Overdue"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14" customWidth="1" min="5" max="5"/>
    <col width="34" customWidth="1" min="6" max="6"/>
  </cols>
  <sheetData>
    <row r="1" ht="30" customHeight="1">
      <c r="A1" s="19" t="inlineStr">
        <is>
          <t>CONTENT CALENDAR</t>
        </is>
      </c>
    </row>
    <row r="2" ht="18" customHeight="1">
      <c r="A2" s="20" t="inlineStr">
        <is>
          <t>Plan filming, editing, and posting per deal so nothing misses a deadline.</t>
        </is>
      </c>
    </row>
    <row r="3" ht="30" customHeight="1">
      <c r="A3" s="21" t="inlineStr">
        <is>
          <t>Date</t>
        </is>
      </c>
      <c r="B3" s="21" t="inlineStr">
        <is>
          <t>Brand/Deal</t>
        </is>
      </c>
      <c r="C3" s="21" t="inlineStr">
        <is>
          <t>Content Type</t>
        </is>
      </c>
      <c r="D3" s="21" t="inlineStr">
        <is>
          <t>Platform</t>
        </is>
      </c>
      <c r="E3" s="21" t="inlineStr">
        <is>
          <t>Status</t>
        </is>
      </c>
      <c r="F3" s="21" t="inlineStr">
        <is>
          <t>Caption/Notes</t>
        </is>
      </c>
    </row>
    <row r="4">
      <c r="A4" s="24" t="inlineStr">
        <is>
          <t>2026-09-10</t>
        </is>
      </c>
      <c r="B4" s="22" t="inlineStr">
        <is>
          <t>Glow Skincare Co.</t>
        </is>
      </c>
      <c r="C4" s="22" t="inlineStr">
        <is>
          <t>Video</t>
        </is>
      </c>
      <c r="D4" s="22" t="inlineStr">
        <is>
          <t>TikTok</t>
        </is>
      </c>
      <c r="E4" s="22" t="inlineStr">
        <is>
          <t>Filming</t>
        </is>
      </c>
      <c r="F4" s="22" t="inlineStr">
        <is>
          <t>Morning routine hook, show product 0:03</t>
        </is>
      </c>
    </row>
    <row r="5">
      <c r="A5" s="27" t="n"/>
      <c r="B5" s="25" t="n"/>
      <c r="C5" s="25" t="n"/>
      <c r="D5" s="25" t="n"/>
      <c r="E5" s="25" t="n"/>
      <c r="F5" s="25" t="n"/>
    </row>
    <row r="6">
      <c r="A6" s="30" t="n"/>
      <c r="B6" s="28" t="n"/>
      <c r="C6" s="28" t="n"/>
      <c r="D6" s="28" t="n"/>
      <c r="E6" s="28" t="n"/>
      <c r="F6" s="28" t="n"/>
    </row>
    <row r="7">
      <c r="A7" s="27" t="n"/>
      <c r="B7" s="25" t="n"/>
      <c r="C7" s="25" t="n"/>
      <c r="D7" s="25" t="n"/>
      <c r="E7" s="25" t="n"/>
      <c r="F7" s="25" t="n"/>
    </row>
    <row r="8">
      <c r="A8" s="30" t="n"/>
      <c r="B8" s="28" t="n"/>
      <c r="C8" s="28" t="n"/>
      <c r="D8" s="28" t="n"/>
      <c r="E8" s="28" t="n"/>
      <c r="F8" s="28" t="n"/>
    </row>
    <row r="9">
      <c r="A9" s="27" t="n"/>
      <c r="B9" s="25" t="n"/>
      <c r="C9" s="25" t="n"/>
      <c r="D9" s="25" t="n"/>
      <c r="E9" s="25" t="n"/>
      <c r="F9" s="25" t="n"/>
    </row>
    <row r="10">
      <c r="A10" s="30" t="n"/>
      <c r="B10" s="28" t="n"/>
      <c r="C10" s="28" t="n"/>
      <c r="D10" s="28" t="n"/>
      <c r="E10" s="28" t="n"/>
      <c r="F10" s="28" t="n"/>
    </row>
    <row r="11">
      <c r="A11" s="27" t="n"/>
      <c r="B11" s="25" t="n"/>
      <c r="C11" s="25" t="n"/>
      <c r="D11" s="25" t="n"/>
      <c r="E11" s="25" t="n"/>
      <c r="F11" s="25" t="n"/>
    </row>
    <row r="12">
      <c r="A12" s="30" t="n"/>
      <c r="B12" s="28" t="n"/>
      <c r="C12" s="28" t="n"/>
      <c r="D12" s="28" t="n"/>
      <c r="E12" s="28" t="n"/>
      <c r="F12" s="28" t="n"/>
    </row>
    <row r="13">
      <c r="A13" s="27" t="n"/>
      <c r="B13" s="25" t="n"/>
      <c r="C13" s="25" t="n"/>
      <c r="D13" s="25" t="n"/>
      <c r="E13" s="25" t="n"/>
      <c r="F13" s="25" t="n"/>
    </row>
    <row r="14">
      <c r="A14" s="30" t="n"/>
      <c r="B14" s="28" t="n"/>
      <c r="C14" s="28" t="n"/>
      <c r="D14" s="28" t="n"/>
      <c r="E14" s="28" t="n"/>
      <c r="F14" s="28" t="n"/>
    </row>
    <row r="15">
      <c r="A15" s="27" t="n"/>
      <c r="B15" s="25" t="n"/>
      <c r="C15" s="25" t="n"/>
      <c r="D15" s="25" t="n"/>
      <c r="E15" s="25" t="n"/>
      <c r="F15" s="25" t="n"/>
    </row>
    <row r="16">
      <c r="A16" s="30" t="n"/>
      <c r="B16" s="28" t="n"/>
      <c r="C16" s="28" t="n"/>
      <c r="D16" s="28" t="n"/>
      <c r="E16" s="28" t="n"/>
      <c r="F16" s="28" t="n"/>
    </row>
    <row r="17">
      <c r="A17" s="27" t="n"/>
      <c r="B17" s="25" t="n"/>
      <c r="C17" s="25" t="n"/>
      <c r="D17" s="25" t="n"/>
      <c r="E17" s="25" t="n"/>
      <c r="F17" s="25" t="n"/>
    </row>
    <row r="18">
      <c r="A18" s="30" t="n"/>
      <c r="B18" s="28" t="n"/>
      <c r="C18" s="28" t="n"/>
      <c r="D18" s="28" t="n"/>
      <c r="E18" s="28" t="n"/>
      <c r="F18" s="28" t="n"/>
    </row>
    <row r="19">
      <c r="A19" s="27" t="n"/>
      <c r="B19" s="25" t="n"/>
      <c r="C19" s="25" t="n"/>
      <c r="D19" s="25" t="n"/>
      <c r="E19" s="25" t="n"/>
      <c r="F19" s="25" t="n"/>
    </row>
    <row r="20">
      <c r="A20" s="30" t="n"/>
      <c r="B20" s="28" t="n"/>
      <c r="C20" s="28" t="n"/>
      <c r="D20" s="28" t="n"/>
      <c r="E20" s="28" t="n"/>
      <c r="F20" s="28" t="n"/>
    </row>
    <row r="21">
      <c r="A21" s="27" t="n"/>
      <c r="B21" s="25" t="n"/>
      <c r="C21" s="25" t="n"/>
      <c r="D21" s="25" t="n"/>
      <c r="E21" s="25" t="n"/>
      <c r="F21" s="25" t="n"/>
    </row>
    <row r="22">
      <c r="A22" s="30" t="n"/>
      <c r="B22" s="28" t="n"/>
      <c r="C22" s="28" t="n"/>
      <c r="D22" s="28" t="n"/>
      <c r="E22" s="28" t="n"/>
      <c r="F22" s="28" t="n"/>
    </row>
    <row r="23">
      <c r="A23" s="27" t="n"/>
      <c r="B23" s="25" t="n"/>
      <c r="C23" s="25" t="n"/>
      <c r="D23" s="25" t="n"/>
      <c r="E23" s="25" t="n"/>
      <c r="F23" s="25" t="n"/>
    </row>
    <row r="24">
      <c r="A24" s="30" t="n"/>
      <c r="B24" s="28" t="n"/>
      <c r="C24" s="28" t="n"/>
      <c r="D24" s="28" t="n"/>
      <c r="E24" s="28" t="n"/>
      <c r="F24" s="28" t="n"/>
    </row>
    <row r="25">
      <c r="A25" s="27" t="n"/>
      <c r="B25" s="25" t="n"/>
      <c r="C25" s="25" t="n"/>
      <c r="D25" s="25" t="n"/>
      <c r="E25" s="25" t="n"/>
      <c r="F25" s="25" t="n"/>
    </row>
    <row r="26">
      <c r="A26" s="30" t="n"/>
      <c r="B26" s="28" t="n"/>
      <c r="C26" s="28" t="n"/>
      <c r="D26" s="28" t="n"/>
      <c r="E26" s="28" t="n"/>
      <c r="F26" s="28" t="n"/>
    </row>
    <row r="27">
      <c r="A27" s="27" t="n"/>
      <c r="B27" s="25" t="n"/>
      <c r="C27" s="25" t="n"/>
      <c r="D27" s="25" t="n"/>
      <c r="E27" s="25" t="n"/>
      <c r="F27" s="25" t="n"/>
    </row>
    <row r="28">
      <c r="A28" s="30" t="n"/>
      <c r="B28" s="28" t="n"/>
      <c r="C28" s="28" t="n"/>
      <c r="D28" s="28" t="n"/>
      <c r="E28" s="28" t="n"/>
      <c r="F28" s="28" t="n"/>
    </row>
    <row r="29">
      <c r="A29" s="27" t="n"/>
      <c r="B29" s="25" t="n"/>
      <c r="C29" s="25" t="n"/>
      <c r="D29" s="25" t="n"/>
      <c r="E29" s="25" t="n"/>
      <c r="F29" s="25" t="n"/>
    </row>
    <row r="30">
      <c r="A30" s="30" t="n"/>
      <c r="B30" s="28" t="n"/>
      <c r="C30" s="28" t="n"/>
      <c r="D30" s="28" t="n"/>
      <c r="E30" s="28" t="n"/>
      <c r="F30" s="28" t="n"/>
    </row>
    <row r="31">
      <c r="A31" s="27" t="n"/>
      <c r="B31" s="25" t="n"/>
      <c r="C31" s="25" t="n"/>
      <c r="D31" s="25" t="n"/>
      <c r="E31" s="25" t="n"/>
      <c r="F31" s="25" t="n"/>
    </row>
    <row r="32">
      <c r="A32" s="30" t="n"/>
      <c r="B32" s="28" t="n"/>
      <c r="C32" s="28" t="n"/>
      <c r="D32" s="28" t="n"/>
      <c r="E32" s="28" t="n"/>
      <c r="F32" s="28" t="n"/>
    </row>
    <row r="33">
      <c r="A33" s="27" t="n"/>
      <c r="B33" s="25" t="n"/>
      <c r="C33" s="25" t="n"/>
      <c r="D33" s="25" t="n"/>
      <c r="E33" s="25" t="n"/>
      <c r="F33" s="25" t="n"/>
    </row>
    <row r="34">
      <c r="A34" s="30" t="n"/>
      <c r="B34" s="28" t="n"/>
      <c r="C34" s="28" t="n"/>
      <c r="D34" s="28" t="n"/>
      <c r="E34" s="28" t="n"/>
      <c r="F34" s="28" t="n"/>
    </row>
    <row r="35">
      <c r="A35" s="27" t="n"/>
      <c r="B35" s="25" t="n"/>
      <c r="C35" s="25" t="n"/>
      <c r="D35" s="25" t="n"/>
      <c r="E35" s="25" t="n"/>
      <c r="F35" s="25" t="n"/>
    </row>
    <row r="36">
      <c r="A36" s="30" t="n"/>
      <c r="B36" s="28" t="n"/>
      <c r="C36" s="28" t="n"/>
      <c r="D36" s="28" t="n"/>
      <c r="E36" s="28" t="n"/>
      <c r="F36" s="28" t="n"/>
    </row>
    <row r="37">
      <c r="A37" s="27" t="n"/>
      <c r="B37" s="25" t="n"/>
      <c r="C37" s="25" t="n"/>
      <c r="D37" s="25" t="n"/>
      <c r="E37" s="25" t="n"/>
      <c r="F37" s="25" t="n"/>
    </row>
    <row r="38">
      <c r="A38" s="30" t="n"/>
      <c r="B38" s="28" t="n"/>
      <c r="C38" s="28" t="n"/>
      <c r="D38" s="28" t="n"/>
      <c r="E38" s="28" t="n"/>
      <c r="F38" s="28" t="n"/>
    </row>
    <row r="39">
      <c r="A39" s="27" t="n"/>
      <c r="B39" s="25" t="n"/>
      <c r="C39" s="25" t="n"/>
      <c r="D39" s="25" t="n"/>
      <c r="E39" s="25" t="n"/>
      <c r="F39" s="25" t="n"/>
    </row>
    <row r="40">
      <c r="A40" s="30" t="n"/>
      <c r="B40" s="28" t="n"/>
      <c r="C40" s="28" t="n"/>
      <c r="D40" s="28" t="n"/>
      <c r="E40" s="28" t="n"/>
      <c r="F40" s="28" t="n"/>
    </row>
    <row r="41">
      <c r="A41" s="27" t="n"/>
      <c r="B41" s="25" t="n"/>
      <c r="C41" s="25" t="n"/>
      <c r="D41" s="25" t="n"/>
      <c r="E41" s="25" t="n"/>
      <c r="F41" s="25" t="n"/>
    </row>
    <row r="42">
      <c r="A42" s="30" t="n"/>
      <c r="B42" s="28" t="n"/>
      <c r="C42" s="28" t="n"/>
      <c r="D42" s="28" t="n"/>
      <c r="E42" s="28" t="n"/>
      <c r="F42" s="28" t="n"/>
    </row>
    <row r="43">
      <c r="A43" s="27" t="n"/>
      <c r="B43" s="25" t="n"/>
      <c r="C43" s="25" t="n"/>
      <c r="D43" s="25" t="n"/>
      <c r="E43" s="25" t="n"/>
      <c r="F43" s="25" t="n"/>
    </row>
    <row r="44">
      <c r="A44" s="30" t="n"/>
      <c r="B44" s="28" t="n"/>
      <c r="C44" s="28" t="n"/>
      <c r="D44" s="28" t="n"/>
      <c r="E44" s="28" t="n"/>
      <c r="F44" s="28" t="n"/>
    </row>
    <row r="45">
      <c r="A45" s="27" t="n"/>
      <c r="B45" s="25" t="n"/>
      <c r="C45" s="25" t="n"/>
      <c r="D45" s="25" t="n"/>
      <c r="E45" s="25" t="n"/>
      <c r="F45" s="25" t="n"/>
    </row>
    <row r="46">
      <c r="A46" s="30" t="n"/>
      <c r="B46" s="28" t="n"/>
      <c r="C46" s="28" t="n"/>
      <c r="D46" s="28" t="n"/>
      <c r="E46" s="28" t="n"/>
      <c r="F46" s="28" t="n"/>
    </row>
    <row r="47">
      <c r="A47" s="27" t="n"/>
      <c r="B47" s="25" t="n"/>
      <c r="C47" s="25" t="n"/>
      <c r="D47" s="25" t="n"/>
      <c r="E47" s="25" t="n"/>
      <c r="F47" s="25" t="n"/>
    </row>
    <row r="48">
      <c r="A48" s="30" t="n"/>
      <c r="B48" s="28" t="n"/>
      <c r="C48" s="28" t="n"/>
      <c r="D48" s="28" t="n"/>
      <c r="E48" s="28" t="n"/>
      <c r="F48" s="28" t="n"/>
    </row>
    <row r="49">
      <c r="A49" s="27" t="n"/>
      <c r="B49" s="25" t="n"/>
      <c r="C49" s="25" t="n"/>
      <c r="D49" s="25" t="n"/>
      <c r="E49" s="25" t="n"/>
      <c r="F49" s="25" t="n"/>
    </row>
    <row r="50">
      <c r="A50" s="30" t="n"/>
      <c r="B50" s="28" t="n"/>
      <c r="C50" s="28" t="n"/>
      <c r="D50" s="28" t="n"/>
      <c r="E50" s="28" t="n"/>
      <c r="F50" s="28" t="n"/>
    </row>
    <row r="51">
      <c r="A51" s="27" t="n"/>
      <c r="B51" s="25" t="n"/>
      <c r="C51" s="25" t="n"/>
      <c r="D51" s="25" t="n"/>
      <c r="E51" s="25" t="n"/>
      <c r="F51" s="25" t="n"/>
    </row>
    <row r="52">
      <c r="A52" s="30" t="n"/>
      <c r="B52" s="28" t="n"/>
      <c r="C52" s="28" t="n"/>
      <c r="D52" s="28" t="n"/>
      <c r="E52" s="28" t="n"/>
      <c r="F52" s="28" t="n"/>
    </row>
    <row r="53">
      <c r="A53" s="27" t="n"/>
      <c r="B53" s="25" t="n"/>
      <c r="C53" s="25" t="n"/>
      <c r="D53" s="25" t="n"/>
      <c r="E53" s="25" t="n"/>
      <c r="F53" s="25" t="n"/>
    </row>
    <row r="54">
      <c r="A54" s="30" t="n"/>
      <c r="B54" s="28" t="n"/>
      <c r="C54" s="28" t="n"/>
      <c r="D54" s="28" t="n"/>
      <c r="E54" s="28" t="n"/>
      <c r="F54" s="28" t="n"/>
    </row>
    <row r="55">
      <c r="A55" s="27" t="n"/>
      <c r="B55" s="25" t="n"/>
      <c r="C55" s="25" t="n"/>
      <c r="D55" s="25" t="n"/>
      <c r="E55" s="25" t="n"/>
      <c r="F55" s="25" t="n"/>
    </row>
    <row r="56">
      <c r="A56" s="30" t="n"/>
      <c r="B56" s="28" t="n"/>
      <c r="C56" s="28" t="n"/>
      <c r="D56" s="28" t="n"/>
      <c r="E56" s="28" t="n"/>
      <c r="F56" s="28" t="n"/>
    </row>
    <row r="57">
      <c r="A57" s="27" t="n"/>
      <c r="B57" s="25" t="n"/>
      <c r="C57" s="25" t="n"/>
      <c r="D57" s="25" t="n"/>
      <c r="E57" s="25" t="n"/>
      <c r="F57" s="25" t="n"/>
    </row>
    <row r="58">
      <c r="A58" s="30" t="n"/>
      <c r="B58" s="28" t="n"/>
      <c r="C58" s="28" t="n"/>
      <c r="D58" s="28" t="n"/>
      <c r="E58" s="28" t="n"/>
      <c r="F58" s="28" t="n"/>
    </row>
    <row r="59">
      <c r="A59" s="27" t="n"/>
      <c r="B59" s="25" t="n"/>
      <c r="C59" s="25" t="n"/>
      <c r="D59" s="25" t="n"/>
      <c r="E59" s="25" t="n"/>
      <c r="F59" s="25" t="n"/>
    </row>
    <row r="60">
      <c r="A60" s="30" t="n"/>
      <c r="B60" s="28" t="n"/>
      <c r="C60" s="28" t="n"/>
      <c r="D60" s="28" t="n"/>
      <c r="E60" s="28" t="n"/>
      <c r="F60" s="28" t="n"/>
    </row>
    <row r="61">
      <c r="A61" s="27" t="n"/>
      <c r="B61" s="25" t="n"/>
      <c r="C61" s="25" t="n"/>
      <c r="D61" s="25" t="n"/>
      <c r="E61" s="25" t="n"/>
      <c r="F61" s="25" t="n"/>
    </row>
    <row r="62">
      <c r="A62" s="30" t="n"/>
      <c r="B62" s="28" t="n"/>
      <c r="C62" s="28" t="n"/>
      <c r="D62" s="28" t="n"/>
      <c r="E62" s="28" t="n"/>
      <c r="F62" s="28" t="n"/>
    </row>
    <row r="63">
      <c r="A63" s="27" t="n"/>
      <c r="B63" s="25" t="n"/>
      <c r="C63" s="25" t="n"/>
      <c r="D63" s="25" t="n"/>
      <c r="E63" s="25" t="n"/>
      <c r="F63" s="25" t="n"/>
    </row>
  </sheetData>
  <mergeCells count="2">
    <mergeCell ref="A2:F2"/>
    <mergeCell ref="A1:F1"/>
  </mergeCells>
  <conditionalFormatting sqref="E4:E63">
    <cfRule type="cellIs" priority="1" operator="equal" dxfId="6">
      <formula>"Not Started"</formula>
    </cfRule>
    <cfRule type="cellIs" priority="2" operator="equal" dxfId="0">
      <formula>"Filming"</formula>
    </cfRule>
    <cfRule type="cellIs" priority="3" operator="equal" dxfId="1">
      <formula>"Editing"</formula>
    </cfRule>
    <cfRule type="cellIs" priority="4" operator="equal" dxfId="3">
      <formula>"Submitted"</formula>
    </cfRule>
    <cfRule type="cellIs" priority="5" operator="equal" dxfId="4">
      <formula>"Posted"</formula>
    </cfRule>
  </conditionalFormatting>
  <dataValidations count="1">
    <dataValidation sqref="E4:E63" showDropDown="0" showInputMessage="0" showErrorMessage="0" allowBlank="1" type="list">
      <formula1>"Not Started,Filming,Editing,Submitted,Posted"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6" customWidth="1" min="3" max="3"/>
    <col width="46" customWidth="1" min="4" max="4"/>
  </cols>
  <sheetData>
    <row r="1" ht="30" customHeight="1">
      <c r="A1" s="19" t="inlineStr">
        <is>
          <t>USAGE RIGHTS CHEAT SHEET</t>
        </is>
      </c>
    </row>
    <row r="2" ht="18" customHeight="1">
      <c r="A2" s="20" t="inlineStr">
        <is>
          <t>Read this once. It's the #1 place new UGC creators leave money on the table.</t>
        </is>
      </c>
    </row>
    <row r="3" ht="30" customHeight="1">
      <c r="A3" s="21" t="inlineStr">
        <is>
          <t>Tier</t>
        </is>
      </c>
      <c r="B3" s="21" t="inlineStr">
        <is>
          <t>What It Actually Means</t>
        </is>
      </c>
      <c r="C3" s="21" t="inlineStr">
        <is>
          <t>Price Multiplier</t>
        </is>
      </c>
      <c r="D3" s="21" t="inlineStr">
        <is>
          <t>Use It When</t>
        </is>
      </c>
    </row>
    <row r="4" ht="44" customHeight="1">
      <c r="A4" s="50" t="inlineStr">
        <is>
          <t>Organic Only</t>
        </is>
      </c>
      <c r="B4" s="50" t="inlineStr">
        <is>
          <t>Brand only gets the raw file(s). They post nothing as an ad, and don't run it through your handle or theirs as paid media.</t>
        </is>
      </c>
      <c r="C4" s="50" t="inlineStr">
        <is>
          <t>1.0x</t>
        </is>
      </c>
      <c r="D4" s="50" t="inlineStr">
        <is>
          <t>They only want content for their own organic/unpaid social pages.</t>
        </is>
      </c>
    </row>
    <row r="5" ht="44" customHeight="1">
      <c r="A5" s="51" t="inlineStr">
        <is>
          <t>Whitelisted 30 Days</t>
        </is>
      </c>
      <c r="B5" s="51" t="inlineStr">
        <is>
          <t>Brand runs your content as a paid ad THROUGH YOUR HANDLE (Spark Ads / Partnership Ads) for up to 30 days.</t>
        </is>
      </c>
      <c r="C5" s="51" t="inlineStr">
        <is>
          <t>1.25x</t>
        </is>
      </c>
      <c r="D5" s="51" t="inlineStr">
        <is>
          <t>A short test campaign or one-off promo.</t>
        </is>
      </c>
    </row>
    <row r="6" ht="44" customHeight="1">
      <c r="A6" s="50" t="inlineStr">
        <is>
          <t>Whitelisted 90 Days</t>
        </is>
      </c>
      <c r="B6" s="50" t="inlineStr">
        <is>
          <t>Same as above, for up to 90 days — the most common ask for a standard campaign flight.</t>
        </is>
      </c>
      <c r="C6" s="50" t="inlineStr">
        <is>
          <t>1.5x</t>
        </is>
      </c>
      <c r="D6" s="50" t="inlineStr">
        <is>
          <t>A normal-length paid campaign.</t>
        </is>
      </c>
    </row>
    <row r="7" ht="44" customHeight="1">
      <c r="A7" s="51" t="inlineStr">
        <is>
          <t>Paid Ads / Whitelisted 6mo</t>
        </is>
      </c>
      <c r="B7" s="51" t="inlineStr">
        <is>
          <t>Extended paid-media usage, sometimes across the brand's own channels too, for up to 6 months.</t>
        </is>
      </c>
      <c r="C7" s="51" t="inlineStr">
        <is>
          <t>2.0x</t>
        </is>
      </c>
      <c r="D7" s="51" t="inlineStr">
        <is>
          <t>An always-on or longer-running paid campaign.</t>
        </is>
      </c>
    </row>
    <row r="8" ht="44" customHeight="1">
      <c r="A8" s="50" t="inlineStr">
        <is>
          <t>Full Buyout</t>
        </is>
      </c>
      <c r="B8" s="50" t="inlineStr">
        <is>
          <t>Brand owns unlimited, perpetual usage — ads, packaging, website, anywhere, forever.</t>
        </is>
      </c>
      <c r="C8" s="50" t="inlineStr">
        <is>
          <t>3.0x (floor)</t>
        </is>
      </c>
      <c r="D8" s="50" t="inlineStr">
        <is>
          <t>Anytime 'forever' or 'unlimited' is mentioned. Never accept 1x for this.</t>
        </is>
      </c>
    </row>
    <row r="10" ht="30" customHeight="1">
      <c r="A10" s="52" t="inlineStr">
        <is>
          <t>Rule of thumb: if you don't know the brand's usage plan, ASK before you quote. Usage rights — not the content itself — is where creators leave the most money on the table.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2026-08-23T13:23:59Z</dcterms:created>
  <dcterms:modified xsi:type="dcterms:W3CDTF">2026-08-23T13:23:59Z</dcterms:modified>
</cp:coreProperties>
</file>